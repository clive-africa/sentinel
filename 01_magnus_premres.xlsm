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ync\git_hub\vba_samplicity\"/>
    </mc:Choice>
  </mc:AlternateContent>
  <xr:revisionPtr revIDLastSave="0" documentId="13_ncr:1_{0467FCE8-1377-47B9-A469-69BFB32741A6}" xr6:coauthVersionLast="47" xr6:coauthVersionMax="47" xr10:uidLastSave="{00000000-0000-0000-0000-000000000000}"/>
  <bookViews>
    <workbookView xWindow="-38520" yWindow="1740" windowWidth="38640" windowHeight="15720" tabRatio="842" firstSheet="5" activeTab="7" xr2:uid="{D503991A-17E5-4641-ABD0-042CD294AC8C}"/>
  </bookViews>
  <sheets>
    <sheet name="NOTICE" sheetId="70" r:id="rId1"/>
    <sheet name="LICENSE" sheetId="71" r:id="rId2"/>
    <sheet name="Index" sheetId="25" r:id="rId3"/>
    <sheet name="Notes" sheetId="69" r:id="rId4"/>
    <sheet name="Inputs &gt;&gt;&gt;" sheetId="26" r:id="rId5"/>
    <sheet name="prem_res" sheetId="1" r:id="rId6"/>
    <sheet name="Outputs &gt;&gt;&gt;" sheetId="28" r:id="rId7"/>
    <sheet name="PremRes" sheetId="4" r:id="rId8"/>
    <sheet name="PremRes Proof &gt;&gt;&gt;" sheetId="62" r:id="rId9"/>
    <sheet name="Correlation Matrix" sheetId="58" r:id="rId10"/>
    <sheet name="Calculated Correlation Matrix" sheetId="63" r:id="rId11"/>
    <sheet name="PremRes Replication" sheetId="59" r:id="rId12"/>
    <sheet name="Summary" sheetId="61" r:id="rId13"/>
    <sheet name="Example Profile Output&gt;&gt;&gt;" sheetId="66" r:id="rId14"/>
    <sheet name="Profile_20260119_233003" sheetId="65" r:id="rId15"/>
    <sheet name="Profile_20260119_235016" sheetId="67" r:id="rId16"/>
    <sheet name="Metadata &gt;&gt;&gt;" sheetId="27" r:id="rId17"/>
    <sheet name="metadata" sheetId="5" r:id="rId18"/>
    <sheet name="functions" sheetId="10" r:id="rId19"/>
  </sheets>
  <functionGroups builtInGroupCount="19"/>
  <definedNames>
    <definedName name="_xlnm._FilterDatabase" localSheetId="5" hidden="1">prem_res!$B$5:$W$45</definedName>
    <definedName name="_xleta.HSTACK" hidden="1" xlm="1">#NAME?</definedName>
    <definedName name="_xleta.IF" hidden="1" xlm="1">#NAME?</definedName>
    <definedName name="_xleta.INDEX" hidden="1" xlm="1">#NAME?</definedName>
    <definedName name="_xleta.T" hidden="1" xlm="1">#NAME?</definedName>
    <definedName name="_xlpm._" hidden="1" xlm="1">#NAME?</definedName>
    <definedName name="_xlpm.__" hidden="1" xlm="1">#NAME?</definedName>
    <definedName name="_xlpm.c" hidden="1" xlm="1">#NAME?</definedName>
    <definedName name="_xlpm.calc_count" hidden="1" xlm="1">#NAME?</definedName>
    <definedName name="_xlpm.div__filt" hidden="1" xlm="1">#NAME?</definedName>
    <definedName name="_xlpm.div_1_filt" hidden="1" xlm="1">#NAME?</definedName>
    <definedName name="_xlpm.div_2_filt" hidden="1" xlm="1">#NAME?</definedName>
    <definedName name="_xlpm.divions" hidden="1" xlm="1">#NAME?</definedName>
    <definedName name="_xlpm.division1" hidden="1" xlm="1">#NAME?</definedName>
    <definedName name="_xlpm.division2" hidden="1" xlm="1">#NAME?</definedName>
    <definedName name="_xlpm.divisions" hidden="1" xlm="1">#NAME?</definedName>
    <definedName name="_xlpm.divisons" hidden="1" xlm="1">#NAME?</definedName>
    <definedName name="_xlpm.divsions" hidden="1" xlm="1">#NAME?</definedName>
    <definedName name="_xlpm.lob" hidden="1" xlm="1">#NAME?</definedName>
    <definedName name="_xlpm.lob_type" hidden="1" xlm="1">#NAME?</definedName>
    <definedName name="_xlpm.n" hidden="1" xlm="1">#NAME?</definedName>
    <definedName name="_xlpm.newColValues" hidden="1" xlm="1">#NAME?</definedName>
    <definedName name="_xlpm.original_table" hidden="1" xlm="1">#NAME?</definedName>
    <definedName name="_xlpm.originalTable" hidden="1" xlm="1">#NAME?</definedName>
    <definedName name="_xlpm.prem" hidden="1" xlm="1">#NAME?</definedName>
    <definedName name="_xlpm.prem_res" hidden="1" xlm="1">#NAME?</definedName>
    <definedName name="_xlpm.r" hidden="1" xlm="1">#NAME?</definedName>
    <definedName name="_xlpm.reinsurance" hidden="1" xlm="1">#NAME?</definedName>
    <definedName name="_xlpm.reinsurers" hidden="1" xlm="1">#NAME?</definedName>
    <definedName name="_xlpm.row" hidden="1" xlm="1">#NAME?</definedName>
    <definedName name="_xlpm.row_div" hidden="1" xlm="1">#NAME?</definedName>
    <definedName name="_xlpm.row_ri" hidden="1" xlm="1">#NAME?</definedName>
    <definedName name="_xlpm.rowcount" hidden="1" xlm="1">#NAME?</definedName>
    <definedName name="_xlpm.rows_div" hidden="1" xlm="1">#NAME?</definedName>
    <definedName name="rCorrelation">metadata!$B$43:$AO$82</definedName>
    <definedName name="rEQCommCorr">metadata!$X$161:$AP$179</definedName>
    <definedName name="rEQContCorr">metadata!$AS$161:$BK$179</definedName>
    <definedName name="rEQCoverCharge">metadata!$J$151:$J$155</definedName>
    <definedName name="rEQCoverCorr">metadata!$C$151:$G$155</definedName>
    <definedName name="rEQEngCorr">metadata!$BN$161:$CF$179</definedName>
    <definedName name="rEQMotorCorr">metadata!$CI$161:$DA$179</definedName>
    <definedName name="rEQResCorr">metadata!$C$161:$U$179</definedName>
    <definedName name="rEQZoneCoverCharge">metadata!$DD$161:$DH$179</definedName>
    <definedName name="rFactorCharges">metadata!$B$19:$E$37</definedName>
    <definedName name="rFactorNPCharges">metadata!$H$19:$K$21</definedName>
    <definedName name="rFunc">functions!$B$5:$L$5</definedName>
    <definedName name="rHailCorr">metadata!$C$187:$U$205</definedName>
    <definedName name="rHailZoneCoverCharge">metadata!$X$187:$Y$205</definedName>
    <definedName name="rNominalShock">metadata!$B$111:$D$143</definedName>
    <definedName name="rPremRes">prem_res!$B$5:$W$45</definedName>
    <definedName name="rRealShock">metadata!$F$111:$H$143</definedName>
    <definedName name="rShare">prem_res!$Y$5:$AA$17</definedName>
    <definedName name="rSpread">metadata!$B$87:$I$106</definedName>
    <definedName name="rStdDev">metadata!$AQ$43:$AS$82</definedName>
    <definedName name="rZoneMapping">metadata!$B$210:$C$249</definedName>
  </definedNames>
  <calcPr calcId="191029"/>
  <extLst>
    <ext xmlns:x14="http://schemas.microsoft.com/office/spreadsheetml/2009/9/main" uri="{8193D73E-4604-4355-AFF4-8A2333D13BE4}">
      <x14:definedNames>
        <x14:definedName name="Concentration">
          <x14:argumentDescriptions count="5">
            <x14:argumentDescription index="0">The counterparty data.</x14:argumentDescription>
            <x14:argumentDescription index="1">The mdetailed instrument level market data.</x14:argumentDescription>
            <x14:argumentDescription index="2">The portfolio allocations.</x14:argumentDescription>
            <x14:argumentDescription index="3">The asset mapping table.</x14:argumentDescription>
            <x14:argumentDescription index="4">Optional, the number of levels to include in the calculation.</x14:argumentDescription>
          </x14:argumentDescriptions>
        </x14:definedName>
        <x14:definedName name="FactorNatCat">
          <x14:argumentDescriptions count="6">
            <x14:argumentDescription index="0">The premium and reserve risk data.</x14:argumentDescription>
            <x14:argumentDescription index="1">Optional, the number of levels to include in the calculation.</x14:argumentDescription>
            <x14:argumentDescription index="2">Optional, if the data should be return in a normalised fashion.</x14:argumentDescription>
            <x14:argumentDescription index="3">Optional, the different reinsurance contracts.</x14:argumentDescription>
            <x14:argumentDescription index="4">Optional, details of the reinsurance counterparties.</x14:argumentDescription>
            <x14:argumentDescription index="5">Optional, the reinsurance programme.</x14:argumentDescription>
          </x14:argumentDescriptions>
        </x14:definedName>
        <x14:definedName name="FactorNPCat">
          <x14:argumentDescriptions count="6">
            <x14:argumentDescription index="0">The premium and reserve risk data.</x14:argumentDescription>
            <x14:argumentDescription index="1">Optional, the number of levels to include in the calculation.</x14:argumentDescription>
            <x14:argumentDescription index="2">Optional, if the data should be return in a normalised fashion.</x14:argumentDescription>
            <x14:argumentDescription index="3">Optional, the different reinsurance contracts.</x14:argumentDescription>
            <x14:argumentDescription index="4">Optional, details of the reinsurance counterparties.</x14:argumentDescription>
            <x14:argumentDescription index="5">Optional, the reinsurance programme.</x14:argumentDescription>
          </x14:argumentDescriptions>
        </x14:definedName>
        <x14:definedName name="NatCatRisk">
          <x14:argumentDescriptions count="7">
            <x14:argumentDescription index="0">The sum insured data.</x14:argumentDescription>
            <x14:argumentDescription index="1">Optional, The zone to use for hail risk when no, or an invalid, postal code is provided.</x14:argumentDescription>
            <x14:argumentDescription index="2">Optional, The zone to use for earthquake risk when no, or an invalid, postal code is provided.</x14:argumentDescription>
            <x14:argumentDescription index="3">Optional, the number of levels to include in the calculation.</x14:argumentDescription>
            <x14:argumentDescription index="4">Optional, the different reinsurance contracts.</x14:argumentDescription>
            <x14:argumentDescription index="5">Optional, details of the reinsurance counterparties.</x14:argumentDescription>
            <x14:argumentDescription index="6">Optional, the reinsurance programme.</x14:argumentDescription>
          </x14:argumentDescriptions>
        </x14:definedName>
        <x14:definedName name="PremRes">
          <x14:argumentDescriptions count="4">
            <x14:argumentDescription index="0">The premium and reserve risk data.</x14:argumentDescription>
            <x14:argumentDescription index="1">The counterparty data, detailing the shares held by each reinsurer.</x14:argumentDescription>
            <x14:argumentDescription index="2">Optional, the number of levels to include in the calculation.</x14:argumentDescription>
            <x14:argumentDescription index="3">Optional, if the data should be return in a normalised fashion.</x14:argumentDescription>
          </x14:argumentDescriptions>
        </x14:definedName>
        <x14:definedName name="SpotCurve">
          <x14:argumentDescriptions count="3">
            <x14:argumentDescription index="0">The valuation date</x14:argumentDescription>
            <x14:argumentDescription index="1">The nominal interest data provided by the PA.</x14:argumentDescription>
            <x14:argumentDescription index="2">The real interest rate data provided by the PA.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59" l="1" a="1"/>
  <c r="B19" i="59" s="1"/>
  <c r="AE7" i="1"/>
  <c r="A19" i="59" a="1"/>
  <c r="A19" i="59" s="1"/>
  <c r="A1" i="5" a="1"/>
  <c r="A1" i="5" s="1"/>
  <c r="A1" i="69" a="1"/>
  <c r="A1" i="69" s="1"/>
  <c r="A1" i="61" a="1"/>
  <c r="A1" i="61" s="1"/>
  <c r="A1" i="59" a="1"/>
  <c r="A1" i="59" s="1"/>
  <c r="A1" i="63" a="1"/>
  <c r="A1" i="63" s="1"/>
  <c r="D14" i="61" a="1"/>
  <c r="D14" i="61" s="1"/>
  <c r="A14" i="61" a="1"/>
  <c r="A14" i="61" s="1"/>
  <c r="D19" i="59" a="1"/>
  <c r="D19" i="59" s="1"/>
  <c r="I7" i="4" a="1"/>
  <c r="B7" i="4" a="1"/>
  <c r="I7" i="4" l="1"/>
  <c r="B7" i="4"/>
  <c r="F14" i="61" a="1"/>
  <c r="R130" i="61" l="1"/>
  <c r="Q121" i="61"/>
  <c r="P112" i="61"/>
  <c r="R102" i="61"/>
  <c r="Q93" i="61"/>
  <c r="P84" i="61"/>
  <c r="R74" i="61"/>
  <c r="Q65" i="61"/>
  <c r="P56" i="61"/>
  <c r="R46" i="61"/>
  <c r="Q37" i="61"/>
  <c r="P28" i="61"/>
  <c r="R18" i="61"/>
  <c r="R83" i="61"/>
  <c r="P65" i="61"/>
  <c r="R55" i="61"/>
  <c r="P37" i="61"/>
  <c r="R27" i="61"/>
  <c r="Q18" i="61"/>
  <c r="Q55" i="61"/>
  <c r="R36" i="61"/>
  <c r="Q27" i="61"/>
  <c r="R17" i="61"/>
  <c r="Q129" i="61"/>
  <c r="P120" i="61"/>
  <c r="R110" i="61"/>
  <c r="Q101" i="61"/>
  <c r="Q73" i="61"/>
  <c r="P64" i="61"/>
  <c r="R54" i="61"/>
  <c r="Q45" i="61"/>
  <c r="P36" i="61"/>
  <c r="R26" i="61"/>
  <c r="P129" i="61"/>
  <c r="R119" i="61"/>
  <c r="P101" i="61"/>
  <c r="R91" i="61"/>
  <c r="Q82" i="61"/>
  <c r="P73" i="61"/>
  <c r="Q54" i="61"/>
  <c r="P45" i="61"/>
  <c r="R35" i="61"/>
  <c r="Q26" i="61"/>
  <c r="R16" i="61"/>
  <c r="R128" i="61"/>
  <c r="Q119" i="61"/>
  <c r="P110" i="61"/>
  <c r="R100" i="61"/>
  <c r="P82" i="61"/>
  <c r="R72" i="61"/>
  <c r="Q63" i="61"/>
  <c r="R44" i="61"/>
  <c r="P26" i="61"/>
  <c r="Q16" i="61"/>
  <c r="Q128" i="61"/>
  <c r="R109" i="61"/>
  <c r="P91" i="61"/>
  <c r="Q72" i="61"/>
  <c r="P63" i="61"/>
  <c r="R53" i="61"/>
  <c r="Q44" i="61"/>
  <c r="R25" i="61"/>
  <c r="P128" i="61"/>
  <c r="R118" i="61"/>
  <c r="Q109" i="61"/>
  <c r="P100" i="61"/>
  <c r="R90" i="61"/>
  <c r="Q81" i="61"/>
  <c r="P72" i="61"/>
  <c r="R62" i="61"/>
  <c r="R34" i="61"/>
  <c r="Q25" i="61"/>
  <c r="R127" i="61"/>
  <c r="Q118" i="61"/>
  <c r="P109" i="61"/>
  <c r="Q90" i="61"/>
  <c r="P81" i="61"/>
  <c r="Q62" i="61"/>
  <c r="P53" i="61"/>
  <c r="Q34" i="61"/>
  <c r="P25" i="61"/>
  <c r="Q15" i="61"/>
  <c r="P62" i="61"/>
  <c r="Q43" i="61"/>
  <c r="R24" i="61"/>
  <c r="Q130" i="61"/>
  <c r="P121" i="61"/>
  <c r="R111" i="61"/>
  <c r="Q102" i="61"/>
  <c r="P93" i="61"/>
  <c r="Q74" i="61"/>
  <c r="Q46" i="61"/>
  <c r="R82" i="61"/>
  <c r="Q35" i="61"/>
  <c r="R81" i="61"/>
  <c r="R71" i="61"/>
  <c r="P130" i="61"/>
  <c r="R120" i="61"/>
  <c r="Q111" i="61"/>
  <c r="P102" i="61"/>
  <c r="R92" i="61"/>
  <c r="Q83" i="61"/>
  <c r="P74" i="61"/>
  <c r="R64" i="61"/>
  <c r="P46" i="61"/>
  <c r="P18" i="61"/>
  <c r="P17" i="61"/>
  <c r="Q110" i="61"/>
  <c r="P35" i="61"/>
  <c r="Q53" i="61"/>
  <c r="R43" i="61"/>
  <c r="P15" i="61"/>
  <c r="R129" i="61"/>
  <c r="Q120" i="61"/>
  <c r="P111" i="61"/>
  <c r="R101" i="61"/>
  <c r="Q92" i="61"/>
  <c r="P83" i="61"/>
  <c r="R73" i="61"/>
  <c r="Q64" i="61"/>
  <c r="P55" i="61"/>
  <c r="R45" i="61"/>
  <c r="Q36" i="61"/>
  <c r="P27" i="61"/>
  <c r="P92" i="61"/>
  <c r="R63" i="61"/>
  <c r="Q91" i="61"/>
  <c r="P54" i="61"/>
  <c r="Q100" i="61"/>
  <c r="P16" i="61"/>
  <c r="P44" i="61"/>
  <c r="R15" i="61"/>
  <c r="R99" i="61"/>
  <c r="P119" i="61"/>
  <c r="Q127" i="61"/>
  <c r="P118" i="61"/>
  <c r="R108" i="61"/>
  <c r="Q99" i="61"/>
  <c r="P90" i="61"/>
  <c r="R80" i="61"/>
  <c r="Q71" i="61"/>
  <c r="R52" i="61"/>
  <c r="P34" i="61"/>
  <c r="Q108" i="61"/>
  <c r="R89" i="61"/>
  <c r="Q126" i="61"/>
  <c r="P117" i="61"/>
  <c r="R107" i="61"/>
  <c r="Q98" i="61"/>
  <c r="P89" i="61"/>
  <c r="R79" i="61"/>
  <c r="Q70" i="61"/>
  <c r="P61" i="61"/>
  <c r="R51" i="61"/>
  <c r="Q42" i="61"/>
  <c r="P33" i="61"/>
  <c r="R23" i="61"/>
  <c r="P14" i="61"/>
  <c r="P126" i="61"/>
  <c r="R116" i="61"/>
  <c r="Q107" i="61"/>
  <c r="P98" i="61"/>
  <c r="R88" i="61"/>
  <c r="Q79" i="61"/>
  <c r="P70" i="61"/>
  <c r="R60" i="61"/>
  <c r="Q51" i="61"/>
  <c r="P42" i="61"/>
  <c r="R32" i="61"/>
  <c r="Q23" i="61"/>
  <c r="Q17" i="61"/>
  <c r="R125" i="61"/>
  <c r="Q116" i="61"/>
  <c r="P107" i="61"/>
  <c r="R97" i="61"/>
  <c r="Q88" i="61"/>
  <c r="P79" i="61"/>
  <c r="R69" i="61"/>
  <c r="P127" i="61"/>
  <c r="P108" i="61"/>
  <c r="P88" i="61"/>
  <c r="Q69" i="61"/>
  <c r="P52" i="61"/>
  <c r="R37" i="61"/>
  <c r="R19" i="61"/>
  <c r="Q106" i="61"/>
  <c r="R68" i="61"/>
  <c r="P19" i="61"/>
  <c r="P106" i="61"/>
  <c r="P87" i="61"/>
  <c r="Q50" i="61"/>
  <c r="Q32" i="61"/>
  <c r="R124" i="61"/>
  <c r="R86" i="61"/>
  <c r="Q14" i="61"/>
  <c r="Q105" i="61"/>
  <c r="R67" i="61"/>
  <c r="R31" i="61"/>
  <c r="P124" i="61"/>
  <c r="P105" i="61"/>
  <c r="P86" i="61"/>
  <c r="Q67" i="61"/>
  <c r="Q49" i="61"/>
  <c r="Q31" i="61"/>
  <c r="R123" i="61"/>
  <c r="R104" i="61"/>
  <c r="R85" i="61"/>
  <c r="P67" i="61"/>
  <c r="P49" i="61"/>
  <c r="P31" i="61"/>
  <c r="R126" i="61"/>
  <c r="R106" i="61"/>
  <c r="R87" i="61"/>
  <c r="P69" i="61"/>
  <c r="P51" i="61"/>
  <c r="R33" i="61"/>
  <c r="Q19" i="61"/>
  <c r="Q125" i="61"/>
  <c r="Q87" i="61"/>
  <c r="R50" i="61"/>
  <c r="Q33" i="61"/>
  <c r="P125" i="61"/>
  <c r="Q68" i="61"/>
  <c r="R14" i="61"/>
  <c r="R105" i="61"/>
  <c r="P68" i="61"/>
  <c r="P50" i="61"/>
  <c r="P32" i="61"/>
  <c r="Q124" i="61"/>
  <c r="Q86" i="61"/>
  <c r="R49" i="61"/>
  <c r="P60" i="61"/>
  <c r="P116" i="61"/>
  <c r="R77" i="61"/>
  <c r="Q96" i="61"/>
  <c r="P41" i="61"/>
  <c r="P96" i="61"/>
  <c r="R58" i="61"/>
  <c r="R95" i="61"/>
  <c r="Q114" i="61"/>
  <c r="P22" i="61"/>
  <c r="R39" i="61"/>
  <c r="R94" i="61"/>
  <c r="Q94" i="61"/>
  <c r="P21" i="61"/>
  <c r="R38" i="61"/>
  <c r="P71" i="61"/>
  <c r="Q20" i="61"/>
  <c r="P38" i="61"/>
  <c r="Q123" i="61"/>
  <c r="R66" i="61"/>
  <c r="R30" i="61"/>
  <c r="P85" i="61"/>
  <c r="Q30" i="61"/>
  <c r="R122" i="61"/>
  <c r="P30" i="61"/>
  <c r="Q84" i="61"/>
  <c r="P103" i="61"/>
  <c r="Q29" i="61"/>
  <c r="P80" i="61"/>
  <c r="P29" i="61"/>
  <c r="R78" i="61"/>
  <c r="P43" i="61"/>
  <c r="Q78" i="61"/>
  <c r="R59" i="61"/>
  <c r="Q41" i="61"/>
  <c r="P115" i="61"/>
  <c r="P114" i="61"/>
  <c r="P39" i="61"/>
  <c r="R20" i="61"/>
  <c r="R70" i="61"/>
  <c r="Q85" i="61"/>
  <c r="P104" i="61"/>
  <c r="Q48" i="61"/>
  <c r="R103" i="61"/>
  <c r="P66" i="61"/>
  <c r="Q103" i="61"/>
  <c r="R65" i="61"/>
  <c r="R29" i="61"/>
  <c r="Q80" i="61"/>
  <c r="Q47" i="61"/>
  <c r="R121" i="61"/>
  <c r="Q61" i="61"/>
  <c r="R98" i="61"/>
  <c r="Q60" i="61"/>
  <c r="Q97" i="61"/>
  <c r="P97" i="61"/>
  <c r="Q59" i="61"/>
  <c r="Q77" i="61"/>
  <c r="R40" i="61"/>
  <c r="Q40" i="61"/>
  <c r="P58" i="61"/>
  <c r="R57" i="61"/>
  <c r="Q57" i="61"/>
  <c r="P57" i="61"/>
  <c r="P75" i="61"/>
  <c r="Q112" i="61"/>
  <c r="Q104" i="61"/>
  <c r="R48" i="61"/>
  <c r="P123" i="61"/>
  <c r="Q66" i="61"/>
  <c r="R84" i="61"/>
  <c r="P48" i="61"/>
  <c r="Q122" i="61"/>
  <c r="R47" i="61"/>
  <c r="R61" i="61"/>
  <c r="P99" i="61"/>
  <c r="P47" i="61"/>
  <c r="R117" i="61"/>
  <c r="R28" i="61"/>
  <c r="R42" i="61"/>
  <c r="P78" i="61"/>
  <c r="P24" i="61"/>
  <c r="P59" i="61"/>
  <c r="R114" i="61"/>
  <c r="R75" i="61"/>
  <c r="R112" i="61"/>
  <c r="P122" i="61"/>
  <c r="Q117" i="61"/>
  <c r="Q28" i="61"/>
  <c r="R41" i="61"/>
  <c r="Q24" i="61"/>
  <c r="R96" i="61"/>
  <c r="Q115" i="61"/>
  <c r="P23" i="61"/>
  <c r="P77" i="61"/>
  <c r="R22" i="61"/>
  <c r="R76" i="61"/>
  <c r="Q22" i="61"/>
  <c r="Q95" i="61"/>
  <c r="P40" i="61"/>
  <c r="P76" i="61"/>
  <c r="R113" i="61"/>
  <c r="Q21" i="61"/>
  <c r="Q75" i="61"/>
  <c r="P113" i="61"/>
  <c r="R56" i="61"/>
  <c r="R93" i="61"/>
  <c r="Q38" i="61"/>
  <c r="Q52" i="61"/>
  <c r="R115" i="61"/>
  <c r="Q58" i="61"/>
  <c r="Q76" i="61"/>
  <c r="P95" i="61"/>
  <c r="R21" i="61"/>
  <c r="Q39" i="61"/>
  <c r="Q113" i="61"/>
  <c r="P94" i="61"/>
  <c r="Q56" i="61"/>
  <c r="Q89" i="61"/>
  <c r="P20" i="61"/>
  <c r="G8" i="61" a="1"/>
  <c r="G8" i="61" s="1"/>
  <c r="F8" i="61" a="1"/>
  <c r="F8" i="61" s="1"/>
  <c r="H8" i="61" a="1"/>
  <c r="H8" i="61" s="1"/>
  <c r="F14" i="61"/>
  <c r="K14" i="61" s="1" a="1"/>
  <c r="K14" i="61" s="1"/>
  <c r="C6" i="59" l="1" a="1"/>
  <c r="C6" i="59" l="1"/>
  <c r="K19" i="59" a="1"/>
  <c r="K19" i="59" s="1"/>
  <c r="B7" i="58" l="1" a="1"/>
  <c r="B7" i="58" s="1"/>
  <c r="A1" i="58" a="1"/>
  <c r="A1" i="58" s="1"/>
  <c r="C19" i="59" l="1" a="1"/>
  <c r="C19" i="59" s="1"/>
  <c r="S19" i="59" l="1" a="1"/>
  <c r="S19" i="59" s="1"/>
  <c r="AS19" i="59" l="1" a="1"/>
  <c r="AP19" i="59" a="1"/>
  <c r="AP19" i="59" s="1"/>
  <c r="AP16" i="59" s="1"/>
  <c r="AR19" i="59" a="1"/>
  <c r="AR19" i="59" s="1"/>
  <c r="AI19" i="59" a="1"/>
  <c r="AI19" i="59" s="1"/>
  <c r="BD19" i="59" s="1" a="1"/>
  <c r="BD19" i="59" s="1"/>
  <c r="BD16" i="59" s="1"/>
  <c r="AG19" i="59" a="1"/>
  <c r="AG19" i="59" s="1"/>
  <c r="AD19" i="59" a="1"/>
  <c r="AX19" i="59" a="1"/>
  <c r="AX19" i="59" s="1"/>
  <c r="AX16" i="59" s="1"/>
  <c r="AT19" i="59" a="1"/>
  <c r="AT19" i="59" s="1"/>
  <c r="AT16" i="59" s="1"/>
  <c r="AU19" i="59" a="1"/>
  <c r="AU19" i="59" s="1"/>
  <c r="AU16" i="59" s="1"/>
  <c r="AE19" i="59" a="1"/>
  <c r="AE19" i="59" s="1"/>
  <c r="Y19" i="59" a="1"/>
  <c r="AB19" i="59" a="1"/>
  <c r="AB19" i="59" s="1"/>
  <c r="AJ19" i="59" a="1"/>
  <c r="AJ19" i="59" s="1"/>
  <c r="AM19" i="59" a="1"/>
  <c r="AV19" i="59" a="1"/>
  <c r="AV19" i="59" s="1"/>
  <c r="AV16" i="59" s="1"/>
  <c r="AY19" i="59" a="1"/>
  <c r="AY19" i="59" s="1"/>
  <c r="AY16" i="59" s="1"/>
  <c r="AC19" i="59" a="1"/>
  <c r="AC19" i="59" s="1"/>
  <c r="AF19" i="59" a="1"/>
  <c r="T19" i="59" a="1"/>
  <c r="T19" i="59" s="1"/>
  <c r="U19" i="59" s="1" a="1"/>
  <c r="W19" i="59" a="1"/>
  <c r="AN19" i="59" a="1"/>
  <c r="AQ19" i="59" a="1"/>
  <c r="AQ19" i="59" s="1"/>
  <c r="BF19" i="59" s="1" a="1"/>
  <c r="AW19" i="59" a="1"/>
  <c r="AW19" i="59" s="1"/>
  <c r="AW16" i="59" s="1"/>
  <c r="AA19" i="59" a="1"/>
  <c r="AA19" i="59" s="1"/>
  <c r="AH19" i="59" a="1"/>
  <c r="AH19" i="59" s="1"/>
  <c r="Z19" i="59" a="1"/>
  <c r="Z19" i="59" s="1"/>
  <c r="X19" i="59" a="1"/>
  <c r="X19" i="59" s="1"/>
  <c r="AO19" i="59" a="1"/>
  <c r="AO19" i="59" s="1"/>
  <c r="AO16" i="59" s="1"/>
  <c r="AL19" i="59" a="1"/>
  <c r="AM19" i="59" l="1"/>
  <c r="AM16" i="59" s="1"/>
  <c r="AS19" i="59"/>
  <c r="AS16" i="59" s="1"/>
  <c r="AN19" i="59"/>
  <c r="AN16" i="59" s="1"/>
  <c r="AL19" i="59"/>
  <c r="AL16" i="59" s="1"/>
  <c r="AF19" i="59"/>
  <c r="AD19" i="59"/>
  <c r="BC19" i="59" s="1" a="1"/>
  <c r="BC19" i="59" s="1"/>
  <c r="Y19" i="59"/>
  <c r="W19" i="59"/>
  <c r="BA19" i="59" s="1" a="1"/>
  <c r="BA19" i="59" s="1"/>
  <c r="AR16" i="59"/>
  <c r="BH19" i="59" a="1"/>
  <c r="BH19" i="59" s="1"/>
  <c r="BH16" i="59" s="1"/>
  <c r="AQ16" i="59"/>
  <c r="BF19" i="59"/>
  <c r="BF16" i="59" s="1"/>
  <c r="U19" i="59"/>
  <c r="A7" i="63" s="1" a="1"/>
  <c r="BG19" i="59" l="1" a="1"/>
  <c r="BG19" i="59" s="1"/>
  <c r="BE19" i="59" a="1"/>
  <c r="BE19" i="59" s="1"/>
  <c r="BC16" i="59"/>
  <c r="BA16" i="59"/>
  <c r="A7" i="63"/>
  <c r="B6" i="63" s="1" a="1"/>
  <c r="B6" i="63" s="1"/>
  <c r="BB19" i="59" a="1"/>
  <c r="BK19" i="59" s="1" a="1"/>
  <c r="BK19" i="59" s="1"/>
  <c r="BE16" i="59" l="1"/>
  <c r="BG16" i="59"/>
  <c r="BJ19" i="59" a="1"/>
  <c r="BJ19" i="59" s="1"/>
  <c r="BQ19" i="59" a="1"/>
  <c r="BQ19" i="59" s="1"/>
  <c r="BR19" i="59" a="1"/>
  <c r="BR19" i="59" s="1"/>
  <c r="B7" i="63" a="1"/>
  <c r="B7" i="63" s="1"/>
  <c r="BB19" i="59"/>
  <c r="BJ16" i="59" l="1"/>
  <c r="BZ23" i="59" a="1"/>
  <c r="BZ23" i="59" s="1"/>
  <c r="BB16" i="59"/>
  <c r="BV19" i="59" a="1"/>
  <c r="BS19" i="59" a="1"/>
  <c r="BS19" i="59" l="1"/>
  <c r="BS16" i="59" s="1"/>
  <c r="BK16" i="59"/>
  <c r="BZ24" i="59" a="1"/>
  <c r="BZ24" i="59" s="1"/>
  <c r="BV19" i="59"/>
  <c r="BV16" i="59" s="1"/>
  <c r="BT19" i="59" a="1"/>
  <c r="AD16" i="59"/>
  <c r="AE16" i="59"/>
  <c r="X16" i="59"/>
  <c r="Z16" i="59"/>
  <c r="Y16" i="59"/>
  <c r="AG16" i="59"/>
  <c r="AF16" i="59"/>
  <c r="AA16" i="59"/>
  <c r="AI16" i="59"/>
  <c r="AC16" i="59"/>
  <c r="W16" i="59"/>
  <c r="AH16" i="59"/>
  <c r="AJ16" i="59"/>
  <c r="AB16" i="59"/>
  <c r="BZ25" i="59" l="1" a="1"/>
  <c r="BZ25" i="59" s="1"/>
  <c r="L13" i="61" s="1" a="1"/>
  <c r="L13" i="61" s="1"/>
  <c r="BZ20" i="59"/>
  <c r="BT19" i="59"/>
  <c r="BU19" i="59" s="1" a="1"/>
  <c r="BU19" i="59" s="1"/>
  <c r="BT16" i="59" l="1"/>
  <c r="BW19" i="59" a="1"/>
  <c r="BW19" i="59" l="1"/>
  <c r="A1" i="25" a="1"/>
  <c r="A1" i="25" s="1"/>
  <c r="BW16" i="59" l="1"/>
  <c r="BZ19" i="59" a="1"/>
  <c r="BZ19" i="59" s="1"/>
  <c r="BZ21" i="59" s="1"/>
  <c r="G49" i="1" l="1"/>
  <c r="G48" i="1"/>
  <c r="F49" i="1"/>
  <c r="F48" i="1"/>
  <c r="A1" i="1" l="1" a="1"/>
  <c r="A1" i="1" s="1"/>
  <c r="A1" i="4" a="1"/>
  <c r="A1" i="4" s="1"/>
  <c r="V83" i="61" a="1"/>
  <c r="V83" i="61" s="1"/>
  <c r="Z83" i="61" s="1"/>
  <c r="V127" i="61" a="1"/>
  <c r="V127" i="61" s="1"/>
  <c r="Z127" i="61" s="1"/>
  <c r="V95" i="61" a="1"/>
  <c r="V95" i="61" s="1"/>
  <c r="Z95" i="61" s="1"/>
  <c r="U80" i="61" a="1"/>
  <c r="U80" i="61" s="1"/>
  <c r="Y80" i="61" s="1"/>
  <c r="T95" i="61" a="1"/>
  <c r="T95" i="61" s="1"/>
  <c r="X95" i="61" s="1"/>
  <c r="U76" i="61" a="1"/>
  <c r="U76" i="61" s="1"/>
  <c r="Y76" i="61" s="1"/>
  <c r="T70" i="61" a="1"/>
  <c r="T70" i="61" s="1"/>
  <c r="X70" i="61" s="1"/>
  <c r="U85" i="61" a="1"/>
  <c r="U85" i="61" s="1"/>
  <c r="Y85" i="61" s="1"/>
  <c r="U107" i="61" a="1"/>
  <c r="U107" i="61" s="1"/>
  <c r="Y107" i="61" s="1"/>
  <c r="T114" i="61" a="1"/>
  <c r="T114" i="61" s="1"/>
  <c r="X114" i="61" s="1"/>
  <c r="U106" i="61" a="1"/>
  <c r="U106" i="61" s="1"/>
  <c r="Y106" i="61" s="1"/>
  <c r="T74" i="61" a="1"/>
  <c r="T74" i="61" s="1"/>
  <c r="X74" i="61" s="1"/>
  <c r="V123" i="61" a="1"/>
  <c r="V123" i="61" s="1"/>
  <c r="Z123" i="61" s="1"/>
  <c r="T28" i="61" a="1"/>
  <c r="T28" i="61" s="1"/>
  <c r="X28" i="61" s="1"/>
  <c r="T105" i="61" a="1"/>
  <c r="T105" i="61" s="1"/>
  <c r="X105" i="61" s="1"/>
  <c r="U50" i="61" a="1"/>
  <c r="U50" i="61" s="1"/>
  <c r="Y50" i="61" s="1"/>
  <c r="V48" i="61" a="1"/>
  <c r="V48" i="61" s="1"/>
  <c r="Z48" i="61" s="1"/>
  <c r="U36" i="61" a="1"/>
  <c r="U36" i="61" s="1"/>
  <c r="Y36" i="61" s="1"/>
  <c r="V91" i="61" a="1"/>
  <c r="V91" i="61" s="1"/>
  <c r="Z91" i="61" s="1"/>
  <c r="V70" i="61" a="1"/>
  <c r="V70" i="61" s="1"/>
  <c r="Z70" i="61" s="1"/>
  <c r="V67" i="61" a="1"/>
  <c r="V67" i="61" s="1"/>
  <c r="Z67" i="61" s="1"/>
  <c r="V112" i="61" a="1"/>
  <c r="V112" i="61" s="1"/>
  <c r="Z112" i="61" s="1"/>
  <c r="V74" i="61" a="1"/>
  <c r="V74" i="61" s="1"/>
  <c r="Z74" i="61" s="1"/>
  <c r="V36" i="61" a="1"/>
  <c r="V36" i="61" s="1"/>
  <c r="Z36" i="61" s="1"/>
  <c r="T49" i="61" a="1"/>
  <c r="T49" i="61" s="1"/>
  <c r="X49" i="61" s="1"/>
  <c r="U63" i="61" a="1"/>
  <c r="U63" i="61" s="1"/>
  <c r="Y63" i="61" s="1"/>
  <c r="T73" i="61" a="1"/>
  <c r="T73" i="61" s="1"/>
  <c r="X73" i="61" s="1"/>
  <c r="U108" i="61" a="1"/>
  <c r="U108" i="61" s="1"/>
  <c r="Y108" i="61" s="1"/>
  <c r="V113" i="61" a="1"/>
  <c r="V113" i="61" s="1"/>
  <c r="Z113" i="61" s="1"/>
  <c r="U82" i="61" a="1"/>
  <c r="U82" i="61" s="1"/>
  <c r="Y82" i="61" s="1"/>
  <c r="V32" i="61" a="1"/>
  <c r="V32" i="61" s="1"/>
  <c r="Z32" i="61" s="1"/>
  <c r="T90" i="61" a="1"/>
  <c r="T90" i="61" s="1"/>
  <c r="X90" i="61" s="1"/>
  <c r="T14" i="61" a="1"/>
  <c r="T14" i="61" s="1"/>
  <c r="X14" i="61" s="1"/>
  <c r="U39" i="61" a="1"/>
  <c r="U39" i="61" s="1"/>
  <c r="Y39" i="61" s="1"/>
  <c r="T59" i="61" a="1"/>
  <c r="T59" i="61" s="1"/>
  <c r="X59" i="61" s="1"/>
  <c r="T119" i="61" a="1"/>
  <c r="T119" i="61" s="1"/>
  <c r="X119" i="61" s="1"/>
  <c r="U30" i="61" a="1"/>
  <c r="U30" i="61" s="1"/>
  <c r="Y30" i="61" s="1"/>
  <c r="U81" i="61" a="1"/>
  <c r="U81" i="61" s="1"/>
  <c r="Y81" i="61" s="1"/>
  <c r="U60" i="61" a="1"/>
  <c r="U60" i="61" s="1"/>
  <c r="Y60" i="61" s="1"/>
  <c r="T58" i="61" a="1"/>
  <c r="T58" i="61" s="1"/>
  <c r="X58" i="61" s="1"/>
  <c r="V96" i="61" a="1"/>
  <c r="V96" i="61" s="1"/>
  <c r="Z96" i="61" s="1"/>
  <c r="T85" i="61" a="1"/>
  <c r="T85" i="61" s="1"/>
  <c r="X85" i="61" s="1"/>
  <c r="T75" i="61" a="1"/>
  <c r="T75" i="61" s="1"/>
  <c r="X75" i="61" s="1"/>
  <c r="V65" i="61" a="1"/>
  <c r="V65" i="61" s="1"/>
  <c r="Z65" i="61" s="1"/>
  <c r="U29" i="61" a="1"/>
  <c r="U29" i="61" s="1"/>
  <c r="Y29" i="61" s="1"/>
  <c r="U125" i="61" a="1"/>
  <c r="U125" i="61" s="1"/>
  <c r="Y125" i="61" s="1"/>
  <c r="T48" i="61" a="1"/>
  <c r="T48" i="61" s="1"/>
  <c r="X48" i="61" s="1"/>
  <c r="V37" i="61" a="1"/>
  <c r="V37" i="61" s="1"/>
  <c r="Z37" i="61" s="1"/>
  <c r="T110" i="61" a="1"/>
  <c r="T110" i="61" s="1"/>
  <c r="X110" i="61" s="1"/>
  <c r="U117" i="61" a="1"/>
  <c r="U117" i="61" s="1"/>
  <c r="Y117" i="61" s="1"/>
  <c r="U32" i="61" a="1"/>
  <c r="U32" i="61" s="1"/>
  <c r="Y32" i="61" s="1"/>
  <c r="U74" i="61" a="1"/>
  <c r="U74" i="61" s="1"/>
  <c r="Y74" i="61" s="1"/>
  <c r="U71" i="61" a="1"/>
  <c r="U71" i="61" s="1"/>
  <c r="Y71" i="61" s="1"/>
  <c r="U92" i="61" a="1"/>
  <c r="U92" i="61" s="1"/>
  <c r="Y92" i="61" s="1"/>
  <c r="T51" i="61" a="1"/>
  <c r="T51" i="61" s="1"/>
  <c r="X51" i="61" s="1"/>
  <c r="U120" i="61" a="1"/>
  <c r="U120" i="61" s="1"/>
  <c r="Y120" i="61" s="1"/>
  <c r="U90" i="61" a="1"/>
  <c r="U90" i="61" s="1"/>
  <c r="Y90" i="61" s="1"/>
  <c r="T55" i="61" a="1"/>
  <c r="T55" i="61" s="1"/>
  <c r="X55" i="61" s="1"/>
  <c r="U73" i="61" a="1"/>
  <c r="U73" i="61" s="1"/>
  <c r="Y73" i="61" s="1"/>
  <c r="V22" i="61" a="1"/>
  <c r="V22" i="61" s="1"/>
  <c r="Z22" i="61" s="1"/>
  <c r="T65" i="61" a="1"/>
  <c r="T65" i="61" s="1"/>
  <c r="X65" i="61" s="1"/>
  <c r="T86" i="61" a="1"/>
  <c r="T86" i="61" s="1"/>
  <c r="X86" i="61" s="1"/>
  <c r="V78" i="61" a="1"/>
  <c r="V78" i="61" s="1"/>
  <c r="Z78" i="61" s="1"/>
  <c r="T78" i="61" a="1"/>
  <c r="T78" i="61" s="1"/>
  <c r="X78" i="61" s="1"/>
  <c r="T129" i="61" a="1"/>
  <c r="T129" i="61" s="1"/>
  <c r="X129" i="61" s="1"/>
  <c r="U102" i="61" a="1"/>
  <c r="U102" i="61" s="1"/>
  <c r="Y102" i="61" s="1"/>
  <c r="T118" i="61" a="1"/>
  <c r="T118" i="61" s="1"/>
  <c r="X118" i="61" s="1"/>
  <c r="U130" i="61" a="1"/>
  <c r="U130" i="61" s="1"/>
  <c r="Y130" i="61" s="1"/>
  <c r="U79" i="61" a="1"/>
  <c r="U79" i="61" s="1"/>
  <c r="Y79" i="61" s="1"/>
  <c r="V84" i="61" a="1"/>
  <c r="V84" i="61" s="1"/>
  <c r="Z84" i="61" s="1"/>
  <c r="U33" i="61" a="1"/>
  <c r="U33" i="61" s="1"/>
  <c r="Y33" i="61" s="1"/>
  <c r="V125" i="61" a="1"/>
  <c r="V125" i="61" s="1"/>
  <c r="Z125" i="61" s="1"/>
  <c r="U98" i="61" a="1"/>
  <c r="U98" i="61" s="1"/>
  <c r="Y98" i="61" s="1"/>
  <c r="V49" i="61" a="1"/>
  <c r="V49" i="61" s="1"/>
  <c r="Z49" i="61" s="1"/>
  <c r="V77" i="61" a="1"/>
  <c r="V77" i="61" s="1"/>
  <c r="Z77" i="61" s="1"/>
  <c r="V81" i="61" a="1"/>
  <c r="V81" i="61" s="1"/>
  <c r="Z81" i="61" s="1"/>
  <c r="V56" i="61" a="1"/>
  <c r="V56" i="61" s="1"/>
  <c r="Z56" i="61" s="1"/>
  <c r="T25" i="61" a="1"/>
  <c r="T25" i="61" s="1"/>
  <c r="X25" i="61" s="1"/>
  <c r="T91" i="61" a="1"/>
  <c r="T91" i="61" s="1"/>
  <c r="X91" i="61" s="1"/>
  <c r="V43" i="61" a="1"/>
  <c r="V43" i="61" s="1"/>
  <c r="Z43" i="61" s="1"/>
  <c r="T99" i="61" a="1"/>
  <c r="T99" i="61" s="1"/>
  <c r="X99" i="61" s="1"/>
  <c r="V50" i="61" a="1"/>
  <c r="V50" i="61" s="1"/>
  <c r="Z50" i="61" s="1"/>
  <c r="V102" i="61" a="1"/>
  <c r="V102" i="61" s="1"/>
  <c r="Z102" i="61" s="1"/>
  <c r="V27" i="61" a="1"/>
  <c r="V27" i="61" s="1"/>
  <c r="Z27" i="61" s="1"/>
  <c r="V33" i="61" a="1"/>
  <c r="V33" i="61" s="1"/>
  <c r="Z33" i="61" s="1"/>
  <c r="U68" i="61" a="1"/>
  <c r="U68" i="61" s="1"/>
  <c r="Y68" i="61" s="1"/>
  <c r="U97" i="61" a="1"/>
  <c r="U97" i="61" s="1"/>
  <c r="Y97" i="61" s="1"/>
  <c r="U37" i="61" a="1"/>
  <c r="U37" i="61" s="1"/>
  <c r="Y37" i="61" s="1"/>
  <c r="T57" i="61" a="1"/>
  <c r="T57" i="61" s="1"/>
  <c r="X57" i="61" s="1"/>
  <c r="V117" i="61" a="1"/>
  <c r="V117" i="61" s="1"/>
  <c r="Z117" i="61" s="1"/>
  <c r="T116" i="61" a="1"/>
  <c r="T116" i="61" s="1"/>
  <c r="X116" i="61" s="1"/>
  <c r="V34" i="61" a="1"/>
  <c r="V34" i="61" s="1"/>
  <c r="Z34" i="61" s="1"/>
  <c r="T41" i="61" a="1"/>
  <c r="T41" i="61" s="1"/>
  <c r="X41" i="61" s="1"/>
  <c r="T35" i="61" a="1"/>
  <c r="T35" i="61" s="1"/>
  <c r="X35" i="61" s="1"/>
  <c r="U18" i="61" a="1"/>
  <c r="U18" i="61" s="1"/>
  <c r="Y18" i="61" s="1"/>
  <c r="V52" i="61" a="1"/>
  <c r="V52" i="61" s="1"/>
  <c r="Z52" i="61" s="1"/>
  <c r="V110" i="61" a="1"/>
  <c r="V110" i="61" s="1"/>
  <c r="Z110" i="61" s="1"/>
  <c r="U83" i="61" a="1"/>
  <c r="U83" i="61" s="1"/>
  <c r="Y83" i="61" s="1"/>
  <c r="V25" i="61" a="1"/>
  <c r="V25" i="61" s="1"/>
  <c r="Z25" i="61" s="1"/>
  <c r="V31" i="61" a="1"/>
  <c r="V31" i="61" s="1"/>
  <c r="Z31" i="61" s="1"/>
  <c r="U58" i="61" a="1"/>
  <c r="U58" i="61" s="1"/>
  <c r="Y58" i="61" s="1"/>
  <c r="V99" i="61" a="1"/>
  <c r="V99" i="61" s="1"/>
  <c r="Z99" i="61" s="1"/>
  <c r="V119" i="61" a="1"/>
  <c r="V119" i="61" s="1"/>
  <c r="Z119" i="61" s="1"/>
  <c r="T77" i="61" a="1"/>
  <c r="T77" i="61" s="1"/>
  <c r="X77" i="61" s="1"/>
  <c r="V124" i="61" a="1"/>
  <c r="V124" i="61" s="1"/>
  <c r="Z124" i="61" s="1"/>
  <c r="V105" i="61" a="1"/>
  <c r="V105" i="61" s="1"/>
  <c r="Z105" i="61" s="1"/>
  <c r="U22" i="61" a="1"/>
  <c r="U22" i="61" s="1"/>
  <c r="Y22" i="61" s="1"/>
  <c r="U57" i="61" a="1"/>
  <c r="U57" i="61" s="1"/>
  <c r="Y57" i="61" s="1"/>
  <c r="V89" i="61" a="1"/>
  <c r="V89" i="61" s="1"/>
  <c r="Z89" i="61" s="1"/>
  <c r="T30" i="61" a="1"/>
  <c r="T30" i="61" s="1"/>
  <c r="X30" i="61" s="1"/>
  <c r="U94" i="61" a="1"/>
  <c r="U94" i="61" s="1"/>
  <c r="Y94" i="61" s="1"/>
  <c r="V114" i="61" a="1"/>
  <c r="V114" i="61" s="1"/>
  <c r="Z114" i="61" s="1"/>
  <c r="V47" i="61" a="1"/>
  <c r="V47" i="61" s="1"/>
  <c r="Z47" i="61" s="1"/>
  <c r="V87" i="61" a="1"/>
  <c r="V87" i="61" s="1"/>
  <c r="Z87" i="61" s="1"/>
  <c r="T83" i="61" a="1"/>
  <c r="T83" i="61" s="1"/>
  <c r="X83" i="61" s="1"/>
  <c r="V121" i="61" a="1"/>
  <c r="V121" i="61" s="1"/>
  <c r="Z121" i="61" s="1"/>
  <c r="T127" i="61" a="1"/>
  <c r="T127" i="61" s="1"/>
  <c r="X127" i="61" s="1"/>
  <c r="V79" i="61" a="1"/>
  <c r="V79" i="61" s="1"/>
  <c r="Z79" i="61" s="1"/>
  <c r="U72" i="61" a="1"/>
  <c r="U72" i="61" s="1"/>
  <c r="Y72" i="61" s="1"/>
  <c r="U35" i="61" a="1"/>
  <c r="U35" i="61" s="1"/>
  <c r="Y35" i="61" s="1"/>
  <c r="T124" i="61" a="1"/>
  <c r="T124" i="61" s="1"/>
  <c r="X124" i="61" s="1"/>
  <c r="U114" i="61" a="1"/>
  <c r="U114" i="61" s="1"/>
  <c r="Y114" i="61" s="1"/>
  <c r="U45" i="61" a="1"/>
  <c r="U45" i="61" s="1"/>
  <c r="Y45" i="61" s="1"/>
  <c r="U14" i="61" a="1"/>
  <c r="U14" i="61" s="1"/>
  <c r="Y14" i="61" s="1"/>
  <c r="V104" i="61" a="1"/>
  <c r="V104" i="61" s="1"/>
  <c r="Z104" i="61" s="1"/>
  <c r="T102" i="61" a="1"/>
  <c r="T102" i="61" s="1"/>
  <c r="X102" i="61" s="1"/>
  <c r="T62" i="61" a="1"/>
  <c r="T62" i="61" s="1"/>
  <c r="X62" i="61" s="1"/>
  <c r="T107" i="61" a="1"/>
  <c r="T107" i="61" s="1"/>
  <c r="X107" i="61" s="1"/>
  <c r="U93" i="61" a="1"/>
  <c r="U93" i="61" s="1"/>
  <c r="Y93" i="61" s="1"/>
  <c r="T68" i="61" a="1"/>
  <c r="T68" i="61" s="1"/>
  <c r="X68" i="61" s="1"/>
  <c r="T29" i="61" a="1"/>
  <c r="T29" i="61" s="1"/>
  <c r="X29" i="61" s="1"/>
  <c r="V40" i="61" a="1"/>
  <c r="V40" i="61" s="1"/>
  <c r="Z40" i="61" s="1"/>
  <c r="T39" i="61" a="1"/>
  <c r="T39" i="61" s="1"/>
  <c r="X39" i="61" s="1"/>
  <c r="T104" i="61" a="1"/>
  <c r="T104" i="61" s="1"/>
  <c r="X104" i="61" s="1"/>
  <c r="U34" i="61" a="1"/>
  <c r="U34" i="61" s="1"/>
  <c r="Y34" i="61" s="1"/>
  <c r="T66" i="61" a="1"/>
  <c r="T66" i="61" s="1"/>
  <c r="X66" i="61" s="1"/>
  <c r="T45" i="61" a="1"/>
  <c r="T45" i="61" s="1"/>
  <c r="X45" i="61" s="1"/>
  <c r="U95" i="61" a="1"/>
  <c r="U95" i="61" s="1"/>
  <c r="Y95" i="61" s="1"/>
  <c r="U96" i="61" a="1"/>
  <c r="U96" i="61" s="1"/>
  <c r="Y96" i="61" s="1"/>
  <c r="V55" i="61" a="1"/>
  <c r="V55" i="61" s="1"/>
  <c r="Z55" i="61" s="1"/>
  <c r="T122" i="61" a="1"/>
  <c r="T122" i="61" s="1"/>
  <c r="X122" i="61" s="1"/>
  <c r="U86" i="61" a="1"/>
  <c r="U86" i="61" s="1"/>
  <c r="Y86" i="61" s="1"/>
  <c r="V29" i="61" a="1"/>
  <c r="V29" i="61" s="1"/>
  <c r="Z29" i="61" s="1"/>
  <c r="T121" i="61" a="1"/>
  <c r="T121" i="61" s="1"/>
  <c r="X121" i="61" s="1"/>
  <c r="V80" i="61" a="1"/>
  <c r="V80" i="61" s="1"/>
  <c r="Z80" i="61" s="1"/>
  <c r="V44" i="61" a="1"/>
  <c r="V44" i="61" s="1"/>
  <c r="Z44" i="61" s="1"/>
  <c r="V92" i="61" a="1"/>
  <c r="V92" i="61" s="1"/>
  <c r="Z92" i="61" s="1"/>
  <c r="V21" i="61" a="1"/>
  <c r="V21" i="61" s="1"/>
  <c r="Z21" i="61" s="1"/>
  <c r="V26" i="61" a="1"/>
  <c r="V26" i="61" s="1"/>
  <c r="Z26" i="61" s="1"/>
  <c r="T17" i="61" a="1"/>
  <c r="T17" i="61" s="1"/>
  <c r="X17" i="61" s="1"/>
  <c r="T88" i="61" a="1"/>
  <c r="T88" i="61" s="1"/>
  <c r="X88" i="61" s="1"/>
  <c r="T81" i="61" a="1"/>
  <c r="T81" i="61" s="1"/>
  <c r="X81" i="61" s="1"/>
  <c r="V66" i="61" a="1"/>
  <c r="V66" i="61" s="1"/>
  <c r="Z66" i="61" s="1"/>
  <c r="U43" i="61" a="1"/>
  <c r="U43" i="61" s="1"/>
  <c r="Y43" i="61" s="1"/>
  <c r="U46" i="61" a="1"/>
  <c r="U46" i="61" s="1"/>
  <c r="Y46" i="61" s="1"/>
  <c r="U115" i="61" a="1"/>
  <c r="U115" i="61" s="1"/>
  <c r="Y115" i="61" s="1"/>
  <c r="U100" i="61" a="1"/>
  <c r="U100" i="61" s="1"/>
  <c r="Y100" i="61" s="1"/>
  <c r="V30" i="61" a="1"/>
  <c r="V30" i="61" s="1"/>
  <c r="Z30" i="61" s="1"/>
  <c r="V97" i="61" a="1"/>
  <c r="V97" i="61" s="1"/>
  <c r="Z97" i="61" s="1"/>
  <c r="V60" i="61" a="1"/>
  <c r="V60" i="61" s="1"/>
  <c r="Z60" i="61" s="1"/>
  <c r="U41" i="61" a="1"/>
  <c r="U41" i="61" s="1"/>
  <c r="Y41" i="61" s="1"/>
  <c r="U48" i="61" a="1"/>
  <c r="U48" i="61" s="1"/>
  <c r="Y48" i="61" s="1"/>
  <c r="T71" i="61" a="1"/>
  <c r="T71" i="61" s="1"/>
  <c r="X71" i="61" s="1"/>
  <c r="U56" i="61" a="1"/>
  <c r="U56" i="61" s="1"/>
  <c r="Y56" i="61" s="1"/>
  <c r="U122" i="61" a="1"/>
  <c r="U122" i="61" s="1"/>
  <c r="Y122" i="61" s="1"/>
  <c r="U78" i="61" a="1"/>
  <c r="U78" i="61" s="1"/>
  <c r="Y78" i="61" s="1"/>
  <c r="T37" i="61" a="1"/>
  <c r="T37" i="61" s="1"/>
  <c r="X37" i="61" s="1"/>
  <c r="U26" i="61" a="1"/>
  <c r="U26" i="61" s="1"/>
  <c r="Y26" i="61" s="1"/>
  <c r="V16" i="61" a="1"/>
  <c r="V16" i="61" s="1"/>
  <c r="Z16" i="61" s="1"/>
  <c r="V128" i="61" a="1"/>
  <c r="V128" i="61" s="1"/>
  <c r="Z128" i="61" s="1"/>
  <c r="U47" i="61" a="1"/>
  <c r="U47" i="61" s="1"/>
  <c r="Y47" i="61" s="1"/>
  <c r="T126" i="61" a="1"/>
  <c r="T126" i="61" s="1"/>
  <c r="X126" i="61" s="1"/>
  <c r="U27" i="61" a="1"/>
  <c r="U27" i="61" s="1"/>
  <c r="Y27" i="61" s="1"/>
  <c r="T80" i="61" a="1"/>
  <c r="T80" i="61" s="1"/>
  <c r="X80" i="61" s="1"/>
  <c r="T43" i="61" a="1"/>
  <c r="T43" i="61" s="1"/>
  <c r="X43" i="61" s="1"/>
  <c r="V88" i="61" a="1"/>
  <c r="V88" i="61" s="1"/>
  <c r="Z88" i="61" s="1"/>
  <c r="T27" i="61" a="1"/>
  <c r="T27" i="61" s="1"/>
  <c r="X27" i="61" s="1"/>
  <c r="U61" i="61" a="1"/>
  <c r="U61" i="61" s="1"/>
  <c r="Y61" i="61" s="1"/>
  <c r="U25" i="61" a="1"/>
  <c r="U25" i="61" s="1"/>
  <c r="Y25" i="61" s="1"/>
  <c r="T21" i="61" a="1"/>
  <c r="T21" i="61" s="1"/>
  <c r="X21" i="61" s="1"/>
  <c r="T15" i="61" a="1"/>
  <c r="T15" i="61" s="1"/>
  <c r="X15" i="61" s="1"/>
  <c r="V101" i="61" a="1"/>
  <c r="V101" i="61" s="1"/>
  <c r="Z101" i="61" s="1"/>
  <c r="U110" i="61" a="1"/>
  <c r="U110" i="61" s="1"/>
  <c r="Y110" i="61" s="1"/>
  <c r="U113" i="61" a="1"/>
  <c r="U113" i="61" s="1"/>
  <c r="Y113" i="61" s="1"/>
  <c r="V18" i="61" a="1"/>
  <c r="V18" i="61" s="1"/>
  <c r="Z18" i="61" s="1"/>
  <c r="V72" i="61" a="1"/>
  <c r="V72" i="61" s="1"/>
  <c r="Z72" i="61" s="1"/>
  <c r="V59" i="61" a="1"/>
  <c r="V59" i="61" s="1"/>
  <c r="Z59" i="61" s="1"/>
  <c r="T16" i="61" a="1"/>
  <c r="T16" i="61" s="1"/>
  <c r="X16" i="61" s="1"/>
  <c r="U77" i="61" a="1"/>
  <c r="U77" i="61" s="1"/>
  <c r="Y77" i="61" s="1"/>
  <c r="V71" i="61" a="1"/>
  <c r="V71" i="61" s="1"/>
  <c r="Z71" i="61" s="1"/>
  <c r="T47" i="61" a="1"/>
  <c r="T47" i="61" s="1"/>
  <c r="X47" i="61" s="1"/>
  <c r="V122" i="61" a="1"/>
  <c r="V122" i="61" s="1"/>
  <c r="Z122" i="61" s="1"/>
  <c r="V120" i="61" a="1"/>
  <c r="V120" i="61" s="1"/>
  <c r="Z120" i="61" s="1"/>
  <c r="V42" i="61" a="1"/>
  <c r="V42" i="61" s="1"/>
  <c r="Z42" i="61" s="1"/>
  <c r="V62" i="61" a="1"/>
  <c r="V62" i="61" s="1"/>
  <c r="Z62" i="61" s="1"/>
  <c r="V73" i="61" a="1"/>
  <c r="V73" i="61" s="1"/>
  <c r="Z73" i="61" s="1"/>
  <c r="U84" i="61" a="1"/>
  <c r="U84" i="61" s="1"/>
  <c r="Y84" i="61" s="1"/>
  <c r="U103" i="61" a="1"/>
  <c r="U103" i="61" s="1"/>
  <c r="Y103" i="61" s="1"/>
  <c r="V38" i="61" a="1"/>
  <c r="V38" i="61" s="1"/>
  <c r="Z38" i="61" s="1"/>
  <c r="U67" i="61" a="1"/>
  <c r="U67" i="61" s="1"/>
  <c r="Y67" i="61" s="1"/>
  <c r="T61" i="61" a="1"/>
  <c r="T61" i="61" s="1"/>
  <c r="X61" i="61" s="1"/>
  <c r="T76" i="61" a="1"/>
  <c r="T76" i="61" s="1"/>
  <c r="X76" i="61" s="1"/>
  <c r="T108" i="61" a="1"/>
  <c r="T108" i="61" s="1"/>
  <c r="X108" i="61" s="1"/>
  <c r="T84" i="61" a="1"/>
  <c r="T84" i="61" s="1"/>
  <c r="X84" i="61" s="1"/>
  <c r="T26" i="61" a="1"/>
  <c r="T26" i="61" s="1"/>
  <c r="X26" i="61" s="1"/>
  <c r="T38" i="61" a="1"/>
  <c r="T38" i="61" s="1"/>
  <c r="X38" i="61" s="1"/>
  <c r="T130" i="61" a="1"/>
  <c r="T130" i="61" s="1"/>
  <c r="X130" i="61" s="1"/>
  <c r="V14" i="61" a="1"/>
  <c r="V14" i="61" s="1"/>
  <c r="Z14" i="61" s="1"/>
  <c r="V58" i="61" a="1"/>
  <c r="V58" i="61" s="1"/>
  <c r="Z58" i="61" s="1"/>
  <c r="V94" i="61" a="1"/>
  <c r="V94" i="61" s="1"/>
  <c r="Z94" i="61" s="1"/>
  <c r="V19" i="61" a="1"/>
  <c r="V19" i="61" s="1"/>
  <c r="Z19" i="61" s="1"/>
  <c r="U21" i="61" a="1"/>
  <c r="U21" i="61" s="1"/>
  <c r="Y21" i="61" s="1"/>
  <c r="V57" i="61" a="1"/>
  <c r="V57" i="61" s="1"/>
  <c r="Z57" i="61" s="1"/>
  <c r="U23" i="61" a="1"/>
  <c r="U23" i="61" s="1"/>
  <c r="Y23" i="61" s="1"/>
  <c r="V54" i="61" a="1"/>
  <c r="V54" i="61" s="1"/>
  <c r="Z54" i="61" s="1"/>
  <c r="U70" i="61" a="1"/>
  <c r="U70" i="61" s="1"/>
  <c r="Y70" i="61" s="1"/>
  <c r="T23" i="61" a="1"/>
  <c r="T23" i="61" s="1"/>
  <c r="X23" i="61" s="1"/>
  <c r="V63" i="61" a="1"/>
  <c r="V63" i="61" s="1"/>
  <c r="Z63" i="61" s="1"/>
  <c r="V69" i="61" a="1"/>
  <c r="V69" i="61" s="1"/>
  <c r="Z69" i="61" s="1"/>
  <c r="V41" i="61" a="1"/>
  <c r="V41" i="61" s="1"/>
  <c r="Z41" i="61" s="1"/>
  <c r="T103" i="61" a="1"/>
  <c r="T103" i="61" s="1"/>
  <c r="X103" i="61" s="1"/>
  <c r="U20" i="61" a="1"/>
  <c r="U20" i="61" s="1"/>
  <c r="Y20" i="61" s="1"/>
  <c r="U44" i="61" a="1"/>
  <c r="U44" i="61" s="1"/>
  <c r="Y44" i="61" s="1"/>
  <c r="V51" i="61" a="1"/>
  <c r="V51" i="61" s="1"/>
  <c r="Z51" i="61" s="1"/>
  <c r="U24" i="61" a="1"/>
  <c r="U24" i="61" s="1"/>
  <c r="Y24" i="61" s="1"/>
  <c r="U51" i="61" a="1"/>
  <c r="U51" i="61" s="1"/>
  <c r="Y51" i="61" s="1"/>
  <c r="U124" i="61" a="1"/>
  <c r="U124" i="61" s="1"/>
  <c r="Y124" i="61" s="1"/>
  <c r="T67" i="61" a="1"/>
  <c r="T67" i="61" s="1"/>
  <c r="X67" i="61" s="1"/>
  <c r="U55" i="61" a="1"/>
  <c r="U55" i="61" s="1"/>
  <c r="Y55" i="61" s="1"/>
  <c r="U54" i="61" a="1"/>
  <c r="U54" i="61" s="1"/>
  <c r="Y54" i="61" s="1"/>
  <c r="U105" i="61" a="1"/>
  <c r="U105" i="61" s="1"/>
  <c r="Y105" i="61" s="1"/>
  <c r="U87" i="61" a="1"/>
  <c r="U87" i="61" s="1"/>
  <c r="Y87" i="61" s="1"/>
  <c r="T100" i="61" a="1"/>
  <c r="T100" i="61" s="1"/>
  <c r="X100" i="61" s="1"/>
  <c r="T89" i="61" a="1"/>
  <c r="T89" i="61" s="1"/>
  <c r="X89" i="61" s="1"/>
  <c r="V118" i="61" a="1"/>
  <c r="V118" i="61" s="1"/>
  <c r="Z118" i="61" s="1"/>
  <c r="U31" i="61" a="1"/>
  <c r="U31" i="61" s="1"/>
  <c r="Y31" i="61" s="1"/>
  <c r="V76" i="61" a="1"/>
  <c r="V76" i="61" s="1"/>
  <c r="Z76" i="61" s="1"/>
  <c r="V90" i="61" a="1"/>
  <c r="V90" i="61" s="1"/>
  <c r="Z90" i="61" s="1"/>
  <c r="U16" i="61" a="1"/>
  <c r="U16" i="61" s="1"/>
  <c r="Y16" i="61" s="1"/>
  <c r="T64" i="61" a="1"/>
  <c r="T64" i="61" s="1"/>
  <c r="X64" i="61" s="1"/>
  <c r="U127" i="61" a="1"/>
  <c r="U127" i="61" s="1"/>
  <c r="Y127" i="61" s="1"/>
  <c r="U59" i="61" a="1"/>
  <c r="U59" i="61" s="1"/>
  <c r="Y59" i="61" s="1"/>
  <c r="V85" i="61" a="1"/>
  <c r="V85" i="61" s="1"/>
  <c r="Z85" i="61" s="1"/>
  <c r="T101" i="61" a="1"/>
  <c r="T101" i="61" s="1"/>
  <c r="X101" i="61" s="1"/>
  <c r="U104" i="61" a="1"/>
  <c r="U104" i="61" s="1"/>
  <c r="Y104" i="61" s="1"/>
  <c r="T117" i="61" a="1"/>
  <c r="T117" i="61" s="1"/>
  <c r="X117" i="61" s="1"/>
  <c r="U119" i="61" a="1"/>
  <c r="U119" i="61" s="1"/>
  <c r="Y119" i="61" s="1"/>
  <c r="U49" i="61" a="1"/>
  <c r="U49" i="61" s="1"/>
  <c r="Y49" i="61" s="1"/>
  <c r="T115" i="61" a="1"/>
  <c r="T115" i="61" s="1"/>
  <c r="X115" i="61" s="1"/>
  <c r="V130" i="61" a="1"/>
  <c r="V130" i="61" s="1"/>
  <c r="Z130" i="61" s="1"/>
  <c r="U65" i="61" a="1"/>
  <c r="U65" i="61" s="1"/>
  <c r="Y65" i="61" s="1"/>
  <c r="V86" i="61" a="1"/>
  <c r="V86" i="61" s="1"/>
  <c r="Z86" i="61" s="1"/>
  <c r="T125" i="61" a="1"/>
  <c r="T125" i="61" s="1"/>
  <c r="X125" i="61" s="1"/>
  <c r="V68" i="61" a="1"/>
  <c r="V68" i="61" s="1"/>
  <c r="Z68" i="61" s="1"/>
  <c r="U111" i="61" a="1"/>
  <c r="U111" i="61" s="1"/>
  <c r="Y111" i="61" s="1"/>
  <c r="V115" i="61" a="1"/>
  <c r="V115" i="61" s="1"/>
  <c r="Z115" i="61" s="1"/>
  <c r="U88" i="61" a="1"/>
  <c r="U88" i="61" s="1"/>
  <c r="Y88" i="61" s="1"/>
  <c r="V61" i="61" a="1"/>
  <c r="V61" i="61" s="1"/>
  <c r="Z61" i="61" s="1"/>
  <c r="V108" i="61" a="1"/>
  <c r="V108" i="61" s="1"/>
  <c r="Z108" i="61" s="1"/>
  <c r="T111" i="61" a="1"/>
  <c r="T111" i="61" s="1"/>
  <c r="X111" i="61" s="1"/>
  <c r="V109" i="61" a="1"/>
  <c r="V109" i="61" s="1"/>
  <c r="Z109" i="61" s="1"/>
  <c r="U99" i="61" a="1"/>
  <c r="U99" i="61" s="1"/>
  <c r="Y99" i="61" s="1"/>
  <c r="V53" i="61" a="1"/>
  <c r="V53" i="61" s="1"/>
  <c r="Z53" i="61" s="1"/>
  <c r="V28" i="61" a="1"/>
  <c r="V28" i="61" s="1"/>
  <c r="Z28" i="61" s="1"/>
  <c r="T46" i="61" a="1"/>
  <c r="T46" i="61" s="1"/>
  <c r="X46" i="61" s="1"/>
  <c r="V129" i="61" a="1"/>
  <c r="V129" i="61" s="1"/>
  <c r="Z129" i="61" s="1"/>
  <c r="V126" i="61" a="1"/>
  <c r="V126" i="61" s="1"/>
  <c r="Z126" i="61" s="1"/>
  <c r="U128" i="61" a="1"/>
  <c r="U128" i="61" s="1"/>
  <c r="Y128" i="61" s="1"/>
  <c r="U109" i="61" a="1"/>
  <c r="U109" i="61" s="1"/>
  <c r="Y109" i="61" s="1"/>
  <c r="U91" i="61" a="1"/>
  <c r="U91" i="61" s="1"/>
  <c r="Y91" i="61" s="1"/>
  <c r="U101" i="61" a="1"/>
  <c r="U101" i="61" s="1"/>
  <c r="Y101" i="61" s="1"/>
  <c r="U62" i="61" a="1"/>
  <c r="U62" i="61" s="1"/>
  <c r="Y62" i="61" s="1"/>
  <c r="T87" i="61" a="1"/>
  <c r="T87" i="61" s="1"/>
  <c r="X87" i="61" s="1"/>
  <c r="T32" i="61" a="1"/>
  <c r="T32" i="61" s="1"/>
  <c r="X32" i="61" s="1"/>
  <c r="V20" i="61" a="1"/>
  <c r="V20" i="61" s="1"/>
  <c r="Z20" i="61" s="1"/>
  <c r="T50" i="61" a="1"/>
  <c r="T50" i="61" s="1"/>
  <c r="X50" i="61" s="1"/>
  <c r="T56" i="61" a="1"/>
  <c r="T56" i="61" s="1"/>
  <c r="X56" i="61" s="1"/>
  <c r="T60" i="61" a="1"/>
  <c r="T60" i="61" s="1"/>
  <c r="X60" i="61" s="1"/>
  <c r="T94" i="61" a="1"/>
  <c r="T94" i="61" s="1"/>
  <c r="X94" i="61" s="1"/>
  <c r="U123" i="61" a="1"/>
  <c r="U123" i="61" s="1"/>
  <c r="Y123" i="61" s="1"/>
  <c r="T40" i="61" a="1"/>
  <c r="T40" i="61" s="1"/>
  <c r="X40" i="61" s="1"/>
  <c r="V35" i="61" a="1"/>
  <c r="V35" i="61" s="1"/>
  <c r="Z35" i="61" s="1"/>
  <c r="T63" i="61" a="1"/>
  <c r="T63" i="61" s="1"/>
  <c r="X63" i="61" s="1"/>
  <c r="T19" i="61" a="1"/>
  <c r="T19" i="61" s="1"/>
  <c r="X19" i="61" s="1"/>
  <c r="U121" i="61" a="1"/>
  <c r="U121" i="61" s="1"/>
  <c r="Y121" i="61" s="1"/>
  <c r="V98" i="61" a="1"/>
  <c r="V98" i="61" s="1"/>
  <c r="Z98" i="61" s="1"/>
  <c r="T22" i="61" a="1"/>
  <c r="T22" i="61" s="1"/>
  <c r="X22" i="61" s="1"/>
  <c r="V82" i="61" a="1"/>
  <c r="V82" i="61" s="1"/>
  <c r="Z82" i="61" s="1"/>
  <c r="T34" i="61" a="1"/>
  <c r="T34" i="61" s="1"/>
  <c r="X34" i="61" s="1"/>
  <c r="U38" i="61" a="1"/>
  <c r="U38" i="61" s="1"/>
  <c r="Y38" i="61" s="1"/>
  <c r="T42" i="61" a="1"/>
  <c r="T42" i="61" s="1"/>
  <c r="X42" i="61" s="1"/>
  <c r="V111" i="61" a="1"/>
  <c r="V111" i="61" s="1"/>
  <c r="Z111" i="61" s="1"/>
  <c r="V106" i="61" a="1"/>
  <c r="V106" i="61" s="1"/>
  <c r="Z106" i="61" s="1"/>
  <c r="U66" i="61" a="1"/>
  <c r="U66" i="61" s="1"/>
  <c r="Y66" i="61" s="1"/>
  <c r="T98" i="61" a="1"/>
  <c r="T98" i="61" s="1"/>
  <c r="X98" i="61" s="1"/>
  <c r="T113" i="61" a="1"/>
  <c r="T113" i="61" s="1"/>
  <c r="X113" i="61" s="1"/>
  <c r="V45" i="61" a="1"/>
  <c r="V45" i="61" s="1"/>
  <c r="Z45" i="61" s="1"/>
  <c r="T24" i="61" a="1"/>
  <c r="T24" i="61" s="1"/>
  <c r="X24" i="61" s="1"/>
  <c r="V75" i="61" a="1"/>
  <c r="V75" i="61" s="1"/>
  <c r="Z75" i="61" s="1"/>
  <c r="U112" i="61" a="1"/>
  <c r="U112" i="61" s="1"/>
  <c r="Y112" i="61" s="1"/>
  <c r="T82" i="61" a="1"/>
  <c r="T82" i="61" s="1"/>
  <c r="X82" i="61" s="1"/>
  <c r="T93" i="61" a="1"/>
  <c r="T93" i="61" s="1"/>
  <c r="X93" i="61" s="1"/>
  <c r="T31" i="61" a="1"/>
  <c r="T31" i="61" s="1"/>
  <c r="X31" i="61" s="1"/>
  <c r="U129" i="61" a="1"/>
  <c r="U129" i="61" s="1"/>
  <c r="Y129" i="61" s="1"/>
  <c r="V17" i="61" a="1"/>
  <c r="V17" i="61" s="1"/>
  <c r="Z17" i="61" s="1"/>
  <c r="T120" i="61" a="1"/>
  <c r="T120" i="61" s="1"/>
  <c r="X120" i="61" s="1"/>
  <c r="T123" i="61" a="1"/>
  <c r="T123" i="61" s="1"/>
  <c r="X123" i="61" s="1"/>
  <c r="U40" i="61" a="1"/>
  <c r="U40" i="61" s="1"/>
  <c r="Y40" i="61" s="1"/>
  <c r="T44" i="61" a="1"/>
  <c r="T44" i="61" s="1"/>
  <c r="X44" i="61" s="1"/>
  <c r="V100" i="61" a="1"/>
  <c r="V100" i="61" s="1"/>
  <c r="Z100" i="61" s="1"/>
  <c r="V24" i="61" a="1"/>
  <c r="V24" i="61" s="1"/>
  <c r="Z24" i="61" s="1"/>
  <c r="V39" i="61" a="1"/>
  <c r="V39" i="61" s="1"/>
  <c r="Z39" i="61" s="1"/>
  <c r="U89" i="61" a="1"/>
  <c r="U89" i="61" s="1"/>
  <c r="Y89" i="61" s="1"/>
  <c r="U53" i="61" a="1"/>
  <c r="U53" i="61" s="1"/>
  <c r="Y53" i="61" s="1"/>
  <c r="V23" i="61" a="1"/>
  <c r="V23" i="61" s="1"/>
  <c r="Z23" i="61" s="1"/>
  <c r="U69" i="61" a="1"/>
  <c r="U69" i="61" s="1"/>
  <c r="Y69" i="61" s="1"/>
  <c r="T106" i="61" a="1"/>
  <c r="T106" i="61" s="1"/>
  <c r="X106" i="61" s="1"/>
  <c r="V103" i="61" a="1"/>
  <c r="V103" i="61" s="1"/>
  <c r="Z103" i="61" s="1"/>
  <c r="T20" i="61" a="1"/>
  <c r="T20" i="61" s="1"/>
  <c r="X20" i="61" s="1"/>
  <c r="T72" i="61" a="1"/>
  <c r="T72" i="61" s="1"/>
  <c r="X72" i="61" s="1"/>
  <c r="V15" i="61" a="1"/>
  <c r="V15" i="61" s="1"/>
  <c r="Z15" i="61" s="1"/>
  <c r="V93" i="61" a="1"/>
  <c r="V93" i="61" s="1"/>
  <c r="Z93" i="61" s="1"/>
  <c r="V46" i="61" a="1"/>
  <c r="V46" i="61" s="1"/>
  <c r="Z46" i="61" s="1"/>
  <c r="V64" i="61" a="1"/>
  <c r="V64" i="61" s="1"/>
  <c r="Z64" i="61" s="1"/>
  <c r="T128" i="61" a="1"/>
  <c r="T128" i="61" s="1"/>
  <c r="X128" i="61" s="1"/>
  <c r="T69" i="61" a="1"/>
  <c r="T69" i="61" s="1"/>
  <c r="X69" i="61" s="1"/>
  <c r="T79" i="61" a="1"/>
  <c r="T79" i="61" s="1"/>
  <c r="X79" i="61" s="1"/>
  <c r="T97" i="61" a="1"/>
  <c r="T97" i="61" s="1"/>
  <c r="X97" i="61" s="1"/>
  <c r="T33" i="61" a="1"/>
  <c r="T33" i="61" s="1"/>
  <c r="X33" i="61" s="1"/>
  <c r="U17" i="61" a="1"/>
  <c r="U17" i="61" s="1"/>
  <c r="Y17" i="61" s="1"/>
  <c r="U42" i="61" a="1"/>
  <c r="U42" i="61" s="1"/>
  <c r="Y42" i="61" s="1"/>
  <c r="V107" i="61" a="1"/>
  <c r="V107" i="61" s="1"/>
  <c r="Z107" i="61" s="1"/>
  <c r="U19" i="61" a="1"/>
  <c r="U19" i="61" s="1"/>
  <c r="Y19" i="61" s="1"/>
  <c r="T92" i="61" a="1"/>
  <c r="T92" i="61" s="1"/>
  <c r="X92" i="61" s="1"/>
  <c r="T109" i="61" a="1"/>
  <c r="T109" i="61" s="1"/>
  <c r="X109" i="61" s="1"/>
  <c r="T54" i="61" a="1"/>
  <c r="T54" i="61" s="1"/>
  <c r="X54" i="61" s="1"/>
  <c r="T18" i="61" a="1"/>
  <c r="T18" i="61" s="1"/>
  <c r="X18" i="61" s="1"/>
  <c r="U116" i="61" a="1"/>
  <c r="U116" i="61" s="1"/>
  <c r="Y116" i="61" s="1"/>
  <c r="U64" i="61" a="1"/>
  <c r="U64" i="61" s="1"/>
  <c r="Y64" i="61" s="1"/>
  <c r="T112" i="61" a="1"/>
  <c r="T112" i="61" s="1"/>
  <c r="X112" i="61" s="1"/>
  <c r="T53" i="61" a="1"/>
  <c r="T53" i="61" s="1"/>
  <c r="X53" i="61" s="1"/>
  <c r="V116" i="61" a="1"/>
  <c r="V116" i="61" s="1"/>
  <c r="Z116" i="61" s="1"/>
  <c r="T36" i="61" a="1"/>
  <c r="T36" i="61" s="1"/>
  <c r="X36" i="61" s="1"/>
  <c r="U52" i="61" a="1"/>
  <c r="U52" i="61" s="1"/>
  <c r="Y52" i="61" s="1"/>
  <c r="U28" i="61" a="1"/>
  <c r="U28" i="61" s="1"/>
  <c r="Y28" i="61" s="1"/>
  <c r="U118" i="61" a="1"/>
  <c r="U118" i="61" s="1"/>
  <c r="Y118" i="61" s="1"/>
  <c r="U126" i="61" a="1"/>
  <c r="U126" i="61" s="1"/>
  <c r="Y126" i="61" s="1"/>
  <c r="U75" i="61" a="1"/>
  <c r="U75" i="61" s="1"/>
  <c r="Y75" i="61" s="1"/>
  <c r="U15" i="61" a="1"/>
  <c r="U15" i="61" s="1"/>
  <c r="Y15" i="61" s="1"/>
  <c r="T96" i="61" a="1"/>
  <c r="T96" i="61" s="1"/>
  <c r="X96" i="61" s="1"/>
  <c r="T52" i="61" a="1"/>
  <c r="T52" i="61" s="1"/>
  <c r="X52" i="6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<sst xmlns="http://schemas.openxmlformats.org/spreadsheetml/2006/main" count="1466" uniqueCount="557">
  <si>
    <t>level_1</t>
  </si>
  <si>
    <t>lob_type</t>
  </si>
  <si>
    <t>lob</t>
  </si>
  <si>
    <t>gross_p</t>
  </si>
  <si>
    <t>gross_p_last</t>
  </si>
  <si>
    <t>gross_p_last_24</t>
  </si>
  <si>
    <t>gross_fp_existing</t>
  </si>
  <si>
    <t>gross_fp_future</t>
  </si>
  <si>
    <t>gross_claim</t>
  </si>
  <si>
    <t>gross_other</t>
  </si>
  <si>
    <t>net_p</t>
  </si>
  <si>
    <t>net_p_last</t>
  </si>
  <si>
    <t>net_p_last_24</t>
  </si>
  <si>
    <t>net_fp_existing</t>
  </si>
  <si>
    <t>net_fp_future</t>
  </si>
  <si>
    <t>net_claim</t>
  </si>
  <si>
    <t>net_other</t>
  </si>
  <si>
    <t>include_factor_cat</t>
  </si>
  <si>
    <t>reinsurance_id</t>
  </si>
  <si>
    <t>ri_structure</t>
  </si>
  <si>
    <t>D</t>
  </si>
  <si>
    <t>1a</t>
  </si>
  <si>
    <t>Y</t>
  </si>
  <si>
    <t>N</t>
  </si>
  <si>
    <t>prop_pers</t>
  </si>
  <si>
    <t>motor</t>
  </si>
  <si>
    <t>prop</t>
  </si>
  <si>
    <t>non_prop_1</t>
  </si>
  <si>
    <t>xol</t>
  </si>
  <si>
    <t>non_prop_2</t>
  </si>
  <si>
    <t>non_prop_3</t>
  </si>
  <si>
    <t>non_prop_4</t>
  </si>
  <si>
    <t>non_prop_5</t>
  </si>
  <si>
    <t>non_prop_6</t>
  </si>
  <si>
    <t>prop_other</t>
  </si>
  <si>
    <t>prop_comm</t>
  </si>
  <si>
    <t>counterparty_id</t>
  </si>
  <si>
    <t>counterparty_share</t>
  </si>
  <si>
    <t>1b</t>
  </si>
  <si>
    <t>2a</t>
  </si>
  <si>
    <t>2b</t>
  </si>
  <si>
    <t>3i</t>
  </si>
  <si>
    <t>3ii</t>
  </si>
  <si>
    <t>3iii</t>
  </si>
  <si>
    <t>4i</t>
  </si>
  <si>
    <t>4ii</t>
  </si>
  <si>
    <t>5i</t>
  </si>
  <si>
    <t>5ii</t>
  </si>
  <si>
    <t>6i</t>
  </si>
  <si>
    <t>6ii</t>
  </si>
  <si>
    <t>7i</t>
  </si>
  <si>
    <t>7ii</t>
  </si>
  <si>
    <t>8i</t>
  </si>
  <si>
    <t>8ii</t>
  </si>
  <si>
    <t>10i</t>
  </si>
  <si>
    <t>10ii</t>
  </si>
  <si>
    <t>10iii</t>
  </si>
  <si>
    <t>10iv</t>
  </si>
  <si>
    <t>10v</t>
  </si>
  <si>
    <t>10vi</t>
  </si>
  <si>
    <t>10vii</t>
  </si>
  <si>
    <t>16i</t>
  </si>
  <si>
    <t>16ii</t>
  </si>
  <si>
    <t>16iii</t>
  </si>
  <si>
    <t>17i</t>
  </si>
  <si>
    <t>17ii</t>
  </si>
  <si>
    <t>17iii</t>
  </si>
  <si>
    <t>17iv</t>
  </si>
  <si>
    <t>18b</t>
  </si>
  <si>
    <t>18c</t>
  </si>
  <si>
    <t>prem</t>
  </si>
  <si>
    <t>res</t>
  </si>
  <si>
    <t>P</t>
  </si>
  <si>
    <t>9</t>
  </si>
  <si>
    <t>11</t>
  </si>
  <si>
    <t>12</t>
  </si>
  <si>
    <t>13</t>
  </si>
  <si>
    <t>14</t>
  </si>
  <si>
    <t>15</t>
  </si>
  <si>
    <t>NP</t>
  </si>
  <si>
    <t>O</t>
  </si>
  <si>
    <t>Premium and Reserve Risk</t>
  </si>
  <si>
    <t>factor</t>
  </si>
  <si>
    <t>1a;1b;2a;2b;3ii;3iii;4ii;8i</t>
  </si>
  <si>
    <t>D;P;FP</t>
  </si>
  <si>
    <t>1a;1b;2a;2b;3ii;3iii</t>
  </si>
  <si>
    <t>5i;6i;7i</t>
  </si>
  <si>
    <t>4i;5ii;6ii;7ii;8ii;10iii;10vii</t>
  </si>
  <si>
    <t>11;12;13</t>
  </si>
  <si>
    <t>18b;18e</t>
  </si>
  <si>
    <t>NP:FNP</t>
  </si>
  <si>
    <t>18c;18f</t>
  </si>
  <si>
    <t>O;FO</t>
  </si>
  <si>
    <t>P;FP</t>
  </si>
  <si>
    <t>NP;FNP</t>
  </si>
  <si>
    <t>peril</t>
  </si>
  <si>
    <t>level_2</t>
  </si>
  <si>
    <t>cqs</t>
  </si>
  <si>
    <t>duration</t>
  </si>
  <si>
    <t>down_shock</t>
  </si>
  <si>
    <t>up_shock</t>
  </si>
  <si>
    <t>1a;1b;2a;2b;3i;3ii;3iii;4i;4ii;5i;5ii;6i;6ii;7i;7ii;8i;8ii;15;16i;16ii;16iii;17i;17ii;17iii;17iv;18b;18c</t>
  </si>
  <si>
    <t>np_cctcg</t>
  </si>
  <si>
    <t>np_property</t>
  </si>
  <si>
    <t>f_non_prop_accident_health</t>
  </si>
  <si>
    <t>f_storm</t>
  </si>
  <si>
    <t>f_flood</t>
  </si>
  <si>
    <t>f_earthquake</t>
  </si>
  <si>
    <t>f_hail</t>
  </si>
  <si>
    <t>f_major_fire_explosion</t>
  </si>
  <si>
    <t>f_marine_aviation_transit</t>
  </si>
  <si>
    <t>f_prof_liability</t>
  </si>
  <si>
    <t>f_public_laibility</t>
  </si>
  <si>
    <t>f_employer_liability</t>
  </si>
  <si>
    <t>f_officer_liability</t>
  </si>
  <si>
    <t>f_product_liability</t>
  </si>
  <si>
    <t>f_other_liability</t>
  </si>
  <si>
    <t>f_credit_guarantee</t>
  </si>
  <si>
    <t>f_miscellaneous</t>
  </si>
  <si>
    <t>f_non_prop_other</t>
  </si>
  <si>
    <t>f_other_risk_mitigation</t>
  </si>
  <si>
    <t>f_accident_health</t>
  </si>
  <si>
    <t>Function Name</t>
  </si>
  <si>
    <t>Category</t>
  </si>
  <si>
    <t>Argument 1</t>
  </si>
  <si>
    <t>Argument 2</t>
  </si>
  <si>
    <t>Argument 3</t>
  </si>
  <si>
    <t>Argument 4</t>
  </si>
  <si>
    <t>Argument 5</t>
  </si>
  <si>
    <t>Argument 6</t>
  </si>
  <si>
    <t>Argument 7</t>
  </si>
  <si>
    <t>Description</t>
  </si>
  <si>
    <t>PremRes</t>
  </si>
  <si>
    <t>SAM Calculations</t>
  </si>
  <si>
    <t>The premium and reserve risk data.</t>
  </si>
  <si>
    <t>The counterparty data, detailing the shares held by each reinsurer.</t>
  </si>
  <si>
    <t>Optional, the number of levels to include in the calculation.</t>
  </si>
  <si>
    <t>Factor Based Charges</t>
  </si>
  <si>
    <t>Premium and Reserve Risk Factors</t>
  </si>
  <si>
    <t>Interest Rate Curves Shocks</t>
  </si>
  <si>
    <t>Spread Risk Charges</t>
  </si>
  <si>
    <t>Index</t>
  </si>
  <si>
    <t>Earthquake Charges</t>
  </si>
  <si>
    <t>RES</t>
  </si>
  <si>
    <t>CCI</t>
  </si>
  <si>
    <t>Contents</t>
  </si>
  <si>
    <t>ENG</t>
  </si>
  <si>
    <t>Motor</t>
  </si>
  <si>
    <t>Correlation Matrix</t>
  </si>
  <si>
    <t>Cover</t>
  </si>
  <si>
    <t>Charge</t>
  </si>
  <si>
    <t>Residential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</si>
  <si>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</si>
  <si>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</si>
  <si>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</si>
  <si>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</si>
  <si>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</si>
  <si>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</si>
  <si>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</si>
  <si>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</si>
  <si>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</si>
  <si>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</si>
  <si>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</si>
  <si>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</si>
  <si>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</si>
  <si>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</si>
  <si>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</si>
  <si>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</si>
  <si>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</si>
  <si>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</si>
  <si>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</si>
  <si>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Commercial</t>
  </si>
  <si>
    <t>Engineering</t>
  </si>
  <si>
    <t>Charges</t>
  </si>
  <si>
    <t>URN</t>
  </si>
  <si>
    <t>Hail Charges</t>
  </si>
  <si>
    <t>RCI</t>
  </si>
  <si>
    <t>Zone Mapping</t>
  </si>
  <si>
    <t>Post Code</t>
  </si>
  <si>
    <t>Zone</t>
  </si>
  <si>
    <t>This zone is not explicit in the calculation</t>
  </si>
  <si>
    <t>include_np_cat</t>
  </si>
  <si>
    <t>Performs the SAM premium and reserve risk calculation.</t>
  </si>
  <si>
    <t>Premium and Reserve Risk Inputs</t>
  </si>
  <si>
    <t>Inputs</t>
  </si>
  <si>
    <t>Outputs</t>
  </si>
  <si>
    <t>Metadata</t>
  </si>
  <si>
    <t>Help File</t>
  </si>
  <si>
    <t>https://github.com/clive-africa/magnus/wiki/Premium-Reserve</t>
  </si>
  <si>
    <t>Level</t>
  </si>
  <si>
    <t>complete_lob</t>
  </si>
  <si>
    <t>sam_lob</t>
  </si>
  <si>
    <t>gross_premium</t>
  </si>
  <si>
    <t>Numerator</t>
  </si>
  <si>
    <t>Denominator</t>
  </si>
  <si>
    <t>Std Dev</t>
  </si>
  <si>
    <t>Vol</t>
  </si>
  <si>
    <t>(Vol) * (Std Dev)</t>
  </si>
  <si>
    <t>Std</t>
  </si>
  <si>
    <t>Volume</t>
  </si>
  <si>
    <t>Prem Res</t>
  </si>
  <si>
    <t>Prem</t>
  </si>
  <si>
    <t>Res</t>
  </si>
  <si>
    <t>Overall</t>
  </si>
  <si>
    <t>Premium and Reserve Risk: Correlation Matrix</t>
  </si>
  <si>
    <t>Value</t>
  </si>
  <si>
    <t>Division</t>
  </si>
  <si>
    <t>Division Level</t>
  </si>
  <si>
    <t>Division Value</t>
  </si>
  <si>
    <t>Premium</t>
  </si>
  <si>
    <t>Reserve</t>
  </si>
  <si>
    <t>Calcualtion</t>
  </si>
  <si>
    <t>net_premium</t>
  </si>
  <si>
    <t>net_calculated_premium</t>
  </si>
  <si>
    <t>net_calculated_claim</t>
  </si>
  <si>
    <t>reinsurance_p</t>
  </si>
  <si>
    <t>reinsurance_p_last</t>
  </si>
  <si>
    <t>reinsurance_p_last_24</t>
  </si>
  <si>
    <t>reinsurance_fp_existing</t>
  </si>
  <si>
    <t>reinsurance_fp_future</t>
  </si>
  <si>
    <t>reinsurance_other</t>
  </si>
  <si>
    <t>Reinsurance</t>
  </si>
  <si>
    <t>reinsurance_claim</t>
  </si>
  <si>
    <t>calculated_net_p</t>
  </si>
  <si>
    <t>calculated_net_p_last</t>
  </si>
  <si>
    <t>calculated_net_p_last_24</t>
  </si>
  <si>
    <t>calculated_net_fp_existing</t>
  </si>
  <si>
    <t>calculated_net_fp_future</t>
  </si>
  <si>
    <t>calculated_net_claim</t>
  </si>
  <si>
    <t>calculated_net_other</t>
  </si>
  <si>
    <t>reinsurance_premium</t>
  </si>
  <si>
    <t>calculation_premium</t>
  </si>
  <si>
    <t>calculation_claim</t>
  </si>
  <si>
    <t>Reinsurer</t>
  </si>
  <si>
    <t>company_a</t>
  </si>
  <si>
    <t>company_b</t>
  </si>
  <si>
    <t>company_c</t>
  </si>
  <si>
    <t>company_d</t>
  </si>
  <si>
    <t>company_e</t>
  </si>
  <si>
    <t>company_g</t>
  </si>
  <si>
    <t>direct</t>
  </si>
  <si>
    <t>intermediated</t>
  </si>
  <si>
    <t>specialised</t>
  </si>
  <si>
    <t>partnerships</t>
  </si>
  <si>
    <t>gauteng</t>
  </si>
  <si>
    <t>kzn</t>
  </si>
  <si>
    <t>western cape</t>
  </si>
  <si>
    <t>limpopo</t>
  </si>
  <si>
    <t>north west</t>
  </si>
  <si>
    <t>northern cape</t>
  </si>
  <si>
    <t>free state</t>
  </si>
  <si>
    <t>eastern cape</t>
  </si>
  <si>
    <t>Data Table</t>
  </si>
  <si>
    <t>Finalised Results</t>
  </si>
  <si>
    <t>PremRes Results</t>
  </si>
  <si>
    <t>Differences</t>
  </si>
  <si>
    <t>Magnus SCR Calculation Tool</t>
  </si>
  <si>
    <t>Calculated Correlation Matrix</t>
  </si>
  <si>
    <t>PremRes Replication</t>
  </si>
  <si>
    <t>Summary Differences</t>
  </si>
  <si>
    <t>Divisions</t>
  </si>
  <si>
    <t>Divisions &amp; Reinsurance</t>
  </si>
  <si>
    <t>Reconciliation</t>
  </si>
  <si>
    <t>WORKBOOK PROFILING SUMMARY</t>
  </si>
  <si>
    <t>Function</t>
  </si>
  <si>
    <t>Step</t>
  </si>
  <si>
    <t>Calls</t>
  </si>
  <si>
    <t>Total (s)</t>
  </si>
  <si>
    <t>Average (s)</t>
  </si>
  <si>
    <t>Min (s)</t>
  </si>
  <si>
    <t>Max (s)</t>
  </si>
  <si>
    <t>StdDev (s)</t>
  </si>
  <si>
    <t>% of Total</t>
  </si>
  <si>
    <t>Status</t>
  </si>
  <si>
    <t>FUNCTION_START</t>
  </si>
  <si>
    <t>Setup Metadata</t>
  </si>
  <si>
    <t>OK</t>
  </si>
  <si>
    <t>Convert to variant</t>
  </si>
  <si>
    <t>Prepare LOB</t>
  </si>
  <si>
    <t>Prepare RI</t>
  </si>
  <si>
    <t>Correlation matrix</t>
  </si>
  <si>
    <t>Significant</t>
  </si>
  <si>
    <t>Create Pivot</t>
  </si>
  <si>
    <t>BOTTLENECK</t>
  </si>
  <si>
    <t>Prepare Matrix</t>
  </si>
  <si>
    <t>TensorMultiplication</t>
  </si>
  <si>
    <t>PrepareOutput</t>
  </si>
  <si>
    <t>Moderate</t>
  </si>
  <si>
    <t>FUNCTION_END</t>
  </si>
  <si>
    <t>Functions Profiled:</t>
  </si>
  <si>
    <t>Iterations:</t>
  </si>
  <si>
    <t>Total Step Calls:</t>
  </si>
  <si>
    <t>Total Computation Time:</t>
  </si>
  <si>
    <t>seconds</t>
  </si>
  <si>
    <t>Average Per Iteration:</t>
  </si>
  <si>
    <t>Bottlenecks Identified:</t>
  </si>
  <si>
    <t>TOP 5 TIME CONSUMERS</t>
  </si>
  <si>
    <t>FUNCTION-LEVEL SUMMARY</t>
  </si>
  <si>
    <t>Total Calls</t>
  </si>
  <si>
    <t>Total Time (s)</t>
  </si>
  <si>
    <t>Avg Time (s)</t>
  </si>
  <si>
    <t>Min Time (s)</t>
  </si>
  <si>
    <t>Max Time (s)</t>
  </si>
  <si>
    <t>CV %</t>
  </si>
  <si>
    <t>Calls/Iter</t>
  </si>
  <si>
    <t>Notes</t>
  </si>
  <si>
    <t>This workbook is designed to demonstrate the functionality of the Magnus PremRes function.</t>
  </si>
  <si>
    <t>Licensed under the Apache License, Version 2.0 (the "License");</t>
  </si>
  <si>
    <t>you may not use this file except in compliance with the License.</t>
  </si>
  <si>
    <t>You may obtain a copy of the License at</t>
  </si>
  <si>
    <t xml:space="preserve">    http://www.apache.org/licenses/LICENSE-2.0</t>
  </si>
  <si>
    <t>Unless required by applicable law or agreed to in writing, software</t>
  </si>
  <si>
    <t>distributed under the License is distributed on an "AS IS" BASIS,</t>
  </si>
  <si>
    <t>WITHOUT WARRANTIES OR CONDITIONS OF ANY KIND, either express or implied.</t>
  </si>
  <si>
    <t>See the License for the specific language governing permissions and</t>
  </si>
  <si>
    <t>limitations under the License.</t>
  </si>
  <si>
    <t>Copyright 2025 Clive Hogarth</t>
  </si>
  <si>
    <t xml:space="preserve">                                 Apache License</t>
  </si>
  <si>
    <t xml:space="preserve">                           Version 2.0, January 2004</t>
  </si>
  <si>
    <t xml:space="preserve">                        http://www.apache.org/licenses/</t>
  </si>
  <si>
    <t xml:space="preserve">   TERMS AND CONDITIONS FOR USE, REPRODUCTION, AND DISTRIBUTION</t>
  </si>
  <si>
    <t xml:space="preserve">   1. Definitions.</t>
  </si>
  <si>
    <t xml:space="preserve">      "License" shall mean the terms and conditions for use, reproduction,</t>
  </si>
  <si>
    <t xml:space="preserve">      and distribution as defined by Sections 1 through 9 of this document.</t>
  </si>
  <si>
    <t xml:space="preserve">      "Licensor" shall mean the copyright owner or entity authorized by</t>
  </si>
  <si>
    <t xml:space="preserve">      the copyright owner that is granting the License.</t>
  </si>
  <si>
    <t xml:space="preserve">      "Legal Entity" shall mean the union of the acting entity and all</t>
  </si>
  <si>
    <t xml:space="preserve">      other entities that control, are controlled by, or are under common</t>
  </si>
  <si>
    <t xml:space="preserve">      control with that entity. For the purposes of this definition,</t>
  </si>
  <si>
    <t xml:space="preserve">      "control" means (i) the power, direct or indirect, to cause the</t>
  </si>
  <si>
    <t xml:space="preserve">      direction or management of such entity, whether by contract or</t>
  </si>
  <si>
    <t xml:space="preserve">      otherwise, or (ii) ownership of fifty percent (50%) or more of the</t>
  </si>
  <si>
    <t xml:space="preserve">      outstanding shares, or (iii) beneficial ownership of such entity.</t>
  </si>
  <si>
    <t xml:space="preserve">      "You" (or "Your") shall mean an individual or Legal Entity</t>
  </si>
  <si>
    <t xml:space="preserve">      exercising permissions granted by this License.</t>
  </si>
  <si>
    <t xml:space="preserve">      "Source" form shall mean the preferred form for making modifications,</t>
  </si>
  <si>
    <t xml:space="preserve">      including but not limited to software source code, documentation</t>
  </si>
  <si>
    <t xml:space="preserve">      source, and configuration files.</t>
  </si>
  <si>
    <t xml:space="preserve">      "Object" form shall mean any form resulting from mechanical</t>
  </si>
  <si>
    <t xml:space="preserve">      transformation or translation of a Source form, including but</t>
  </si>
  <si>
    <t xml:space="preserve">      not limited to compiled object code, generated documentation,</t>
  </si>
  <si>
    <t xml:space="preserve">      and conversions to other media types.</t>
  </si>
  <si>
    <t xml:space="preserve">      "Work" shall mean the work of authorship, whether in Source or</t>
  </si>
  <si>
    <t xml:space="preserve">      Object form, made available under the License, as indicated by a</t>
  </si>
  <si>
    <t xml:space="preserve">      copyright notice that is included in or attached to the work</t>
  </si>
  <si>
    <t xml:space="preserve">      (an example is provided in the Appendix below).</t>
  </si>
  <si>
    <t xml:space="preserve">      "Derivative Works" shall mean any work, whether in Source or Object</t>
  </si>
  <si>
    <t xml:space="preserve">      form, that is based on (or derived from) the Work and for which the</t>
  </si>
  <si>
    <t xml:space="preserve">      editorial revisions, annotations, elaborations, or other modifications</t>
  </si>
  <si>
    <t xml:space="preserve">      represent, as a whole, an original work of authorship. For the purposes</t>
  </si>
  <si>
    <t xml:space="preserve">      of this License, Derivative Works shall not include works that remain</t>
  </si>
  <si>
    <t xml:space="preserve">      separable from, or merely link (or bind by name) to the interfaces of,</t>
  </si>
  <si>
    <t xml:space="preserve">      the Work and Derivative Works thereof.</t>
  </si>
  <si>
    <t xml:space="preserve">      "Contribution" shall mean any work of authorship, including</t>
  </si>
  <si>
    <t xml:space="preserve">      the original version of the Work and any modifications or additions</t>
  </si>
  <si>
    <t xml:space="preserve">      to that Work or Derivative Works thereof, that is intentionally</t>
  </si>
  <si>
    <t xml:space="preserve">      submitted to Licensor for inclusion in the Work by the copyright owner</t>
  </si>
  <si>
    <t xml:space="preserve">      or by an individual or Legal Entity authorized to submit on behalf of</t>
  </si>
  <si>
    <t xml:space="preserve">      the copyright owner. For the purposes of this definition, "submitted"</t>
  </si>
  <si>
    <t xml:space="preserve">      means any form of electronic, verbal, or written communication sent</t>
  </si>
  <si>
    <t xml:space="preserve">      to the Licensor or its representatives, including but not limited to</t>
  </si>
  <si>
    <t xml:space="preserve">      communication on electronic mailing lists, source code control systems,</t>
  </si>
  <si>
    <t xml:space="preserve">      and issue tracking systems that are managed by, or on behalf of, the</t>
  </si>
  <si>
    <t xml:space="preserve">      Licensor for the purpose of discussing and improving the Work, but</t>
  </si>
  <si>
    <t xml:space="preserve">      excluding communication that is conspicuously marked or otherwise</t>
  </si>
  <si>
    <t xml:space="preserve">      designated in writing by the copyright owner as "Not a Contribution."</t>
  </si>
  <si>
    <t xml:space="preserve">      "Contributor" shall mean Licensor and any individual or Legal Entity</t>
  </si>
  <si>
    <t xml:space="preserve">      on behalf of whom a Contribution has been received by Licensor and</t>
  </si>
  <si>
    <t xml:space="preserve">      subsequently incorporated within the Work.</t>
  </si>
  <si>
    <t xml:space="preserve">   2. Grant of Copyright License. Subject to the terms and conditions of</t>
  </si>
  <si>
    <t xml:space="preserve">      this License, each Contributor hereby grants to You a perpetual,</t>
  </si>
  <si>
    <t xml:space="preserve">      worldwide, non-exclusive, no-charge, royalty-free, irrevocable</t>
  </si>
  <si>
    <t xml:space="preserve">      copyright license to reproduce, prepare Derivative Works of,</t>
  </si>
  <si>
    <t xml:space="preserve">      publicly display, publicly perform, sublicense, and distribute the</t>
  </si>
  <si>
    <t xml:space="preserve">      Work and such Derivative Works in Source or Object form.</t>
  </si>
  <si>
    <t xml:space="preserve">   3. Grant of Patent License. Subject to the terms and conditions of</t>
  </si>
  <si>
    <t xml:space="preserve">      (except as stated in this section) patent license to make, have made,</t>
  </si>
  <si>
    <t xml:space="preserve">      use, offer to sell, sell, import, and otherwise transfer the Work,</t>
  </si>
  <si>
    <t xml:space="preserve">      where such license applies only to those patent claims licensable</t>
  </si>
  <si>
    <t xml:space="preserve">      by such Contributor that are necessarily infringed by their</t>
  </si>
  <si>
    <t xml:space="preserve">      Contribution(s) alone or by combination of their Contribution(s)</t>
  </si>
  <si>
    <t xml:space="preserve">      with the Work to which such Contribution(s) was submitted. If You</t>
  </si>
  <si>
    <t xml:space="preserve">      institute patent litigation against any entity (including a</t>
  </si>
  <si>
    <t xml:space="preserve">      cross-claim or counterclaim in a lawsuit) alleging that the Work</t>
  </si>
  <si>
    <t xml:space="preserve">      or a Contribution incorporated within the Work constitutes direct</t>
  </si>
  <si>
    <t xml:space="preserve">      or contributory patent infringement, then any patent licenses</t>
  </si>
  <si>
    <t xml:space="preserve">      granted to You under this License for that Work shall terminate</t>
  </si>
  <si>
    <t xml:space="preserve">      as of the date such litigation is filed.</t>
  </si>
  <si>
    <t xml:space="preserve">   4. Redistribution. You may reproduce and distribute copies of the</t>
  </si>
  <si>
    <t xml:space="preserve">      Work or Derivative Works thereof in any medium, with or without</t>
  </si>
  <si>
    <t xml:space="preserve">      modifications, and in Source or Object form, provided that You</t>
  </si>
  <si>
    <t xml:space="preserve">      meet the following conditions:</t>
  </si>
  <si>
    <t xml:space="preserve">      (a) You must give any other recipients of the Work or</t>
  </si>
  <si>
    <t xml:space="preserve">          Derivative Works a copy of this License; and</t>
  </si>
  <si>
    <t xml:space="preserve">      (b) You must cause any modified files to carry prominent notices</t>
  </si>
  <si>
    <t xml:space="preserve">          stating that You changed the files; and</t>
  </si>
  <si>
    <t xml:space="preserve">      (c) You must retain, in the Source form of any Derivative Works</t>
  </si>
  <si>
    <t xml:space="preserve">          that You distribute, all copyright, patent, trademark, and</t>
  </si>
  <si>
    <t xml:space="preserve">          attribution notices from the Source form of the Work,</t>
  </si>
  <si>
    <t xml:space="preserve">          excluding those notices that do not pertain to any part of</t>
  </si>
  <si>
    <t xml:space="preserve">          the Derivative Works; and</t>
  </si>
  <si>
    <t xml:space="preserve">      (d) If the Work includes a "NOTICE" text file as part of its</t>
  </si>
  <si>
    <t xml:space="preserve">          distribution, then any Derivative Works that You distribute must</t>
  </si>
  <si>
    <t xml:space="preserve">          include a readable copy of the attribution notices contained</t>
  </si>
  <si>
    <t xml:space="preserve">          within such NOTICE file, excluding those notices that do not</t>
  </si>
  <si>
    <t xml:space="preserve">          pertain to any part of the Derivative Works, in at least one</t>
  </si>
  <si>
    <t xml:space="preserve">          of the following places: within a NOTICE text file distributed</t>
  </si>
  <si>
    <t xml:space="preserve">          as part of the Derivative Works; within the Source form or</t>
  </si>
  <si>
    <t xml:space="preserve">          documentation, if provided along with the Derivative Works; or,</t>
  </si>
  <si>
    <t xml:space="preserve">          within a display generated by the Derivative Works, if and</t>
  </si>
  <si>
    <t xml:space="preserve">          wherever such third-party notices normally appear. The contents</t>
  </si>
  <si>
    <t xml:space="preserve">          of the NOTICE file are for informational purposes only and</t>
  </si>
  <si>
    <t xml:space="preserve">          do not modify the License. You may add Your own attribution</t>
  </si>
  <si>
    <t xml:space="preserve">          notices within Derivative Works that You distribute, alongside</t>
  </si>
  <si>
    <t xml:space="preserve">          or as an addendum to the NOTICE text from the Work, provided</t>
  </si>
  <si>
    <t xml:space="preserve">          that such additional attribution notices cannot be construed</t>
  </si>
  <si>
    <t xml:space="preserve">          as modifying the License.</t>
  </si>
  <si>
    <t xml:space="preserve">      You may add Your own copyright statement to Your modifications and</t>
  </si>
  <si>
    <t xml:space="preserve">      may provide additional or different license terms and conditions</t>
  </si>
  <si>
    <t xml:space="preserve">      for use, reproduction, or distribution of Your modifications, or</t>
  </si>
  <si>
    <t xml:space="preserve">      for any such Derivative Works as a whole, provided Your use,</t>
  </si>
  <si>
    <t xml:space="preserve">      reproduction, and distribution of the Work otherwise complies with</t>
  </si>
  <si>
    <t xml:space="preserve">      the conditions stated in this License.</t>
  </si>
  <si>
    <t xml:space="preserve">   5. Submission of Contributions. Unless You explicitly state otherwise,</t>
  </si>
  <si>
    <t xml:space="preserve">      any Contribution intentionally submitted for inclusion in the Work</t>
  </si>
  <si>
    <t xml:space="preserve">      by You to the Licensor shall be under the terms and conditions of</t>
  </si>
  <si>
    <t xml:space="preserve">      this License, without any additional terms or conditions.</t>
  </si>
  <si>
    <t xml:space="preserve">      Notwithstanding the above, nothing herein shall supersede or modify</t>
  </si>
  <si>
    <t xml:space="preserve">      the terms of any separate license agreement you may have executed</t>
  </si>
  <si>
    <t xml:space="preserve">      with Licensor regarding such Contributions.</t>
  </si>
  <si>
    <t xml:space="preserve">   6. Trademarks. This License does not grant permission to use the trade</t>
  </si>
  <si>
    <t xml:space="preserve">      names, trademarks, service marks, or product names of the Licensor,</t>
  </si>
  <si>
    <t xml:space="preserve">      except as required for reasonable and customary use in describing the</t>
  </si>
  <si>
    <t xml:space="preserve">      origin of the Work and reproducing the content of the NOTICE file.</t>
  </si>
  <si>
    <t xml:space="preserve">   7. Disclaimer of Warranty. Unless required by applicable law or</t>
  </si>
  <si>
    <t xml:space="preserve">      agreed to in writing, Licensor provides the Work (and each</t>
  </si>
  <si>
    <t xml:space="preserve">      Contributor provides its Contributions) on an "AS IS" BASIS,</t>
  </si>
  <si>
    <t xml:space="preserve">      WITHOUT WARRANTIES OR CONDITIONS OF ANY KIND, either express or</t>
  </si>
  <si>
    <t xml:space="preserve">      implied, including, without limitation, any warranties or conditions</t>
  </si>
  <si>
    <t xml:space="preserve">      of TITLE, NON-INFRINGEMENT, MERCHANTABILITY, or FITNESS FOR A</t>
  </si>
  <si>
    <t xml:space="preserve">      PARTICULAR PURPOSE. You are solely responsible for determining the</t>
  </si>
  <si>
    <t xml:space="preserve">      appropriateness of using or redistributing the Work and assume any</t>
  </si>
  <si>
    <t xml:space="preserve">      risks associated with Your exercise of permissions under this License.</t>
  </si>
  <si>
    <t xml:space="preserve">   8. Limitation of Liability. In no event and under no legal theory,</t>
  </si>
  <si>
    <t xml:space="preserve">      whether in tort (including negligence), contract, or otherwise,</t>
  </si>
  <si>
    <t xml:space="preserve">      unless required by applicable law (such as deliberate and grossly</t>
  </si>
  <si>
    <t xml:space="preserve">      negligent acts) or agreed to in writing, shall any Contributor be</t>
  </si>
  <si>
    <t xml:space="preserve">      liable to You for damages, including any direct, indirect, special,</t>
  </si>
  <si>
    <t xml:space="preserve">      incidental, or consequential damages of any character arising as a</t>
  </si>
  <si>
    <t xml:space="preserve">      result of this License or out of the use or inability to use the</t>
  </si>
  <si>
    <t xml:space="preserve">      Work (including but not limited to damages for loss of goodwill,</t>
  </si>
  <si>
    <t xml:space="preserve">      work stoppage, computer failure or malfunction, or any and all</t>
  </si>
  <si>
    <t xml:space="preserve">      other commercial damages or losses), even if such Contributor</t>
  </si>
  <si>
    <t xml:space="preserve">      has been advised of the possibility of such damages.</t>
  </si>
  <si>
    <t xml:space="preserve">   9. Accepting Warranty or Additional Liability. While redistributing</t>
  </si>
  <si>
    <t xml:space="preserve">      the Work or Derivative Works thereof, You may choose to offer,</t>
  </si>
  <si>
    <t xml:space="preserve">      and charge a fee for, acceptance of support, warranty, indemnity,</t>
  </si>
  <si>
    <t xml:space="preserve">      or other liability obligations and/or rights consistent with this</t>
  </si>
  <si>
    <t xml:space="preserve">      License. However, in accepting such obligations, You may act only</t>
  </si>
  <si>
    <t xml:space="preserve">      on Your own behalf and on Your sole responsibility, not on behalf</t>
  </si>
  <si>
    <t xml:space="preserve">      of any other Contributor, and only if You agree to indemnify,</t>
  </si>
  <si>
    <t xml:space="preserve">      defend, and hold each Contributor harmless for any liability</t>
  </si>
  <si>
    <t xml:space="preserve">      incurred by, or claims asserted against, such Contributor by reason</t>
  </si>
  <si>
    <t xml:space="preserve">      of your accepting any such warranty or additional liability.</t>
  </si>
  <si>
    <t xml:space="preserve">   END OF TERMS AND CONDITIONS</t>
  </si>
  <si>
    <t xml:space="preserve">   APPENDIX: How to apply the Apache License to your work.</t>
  </si>
  <si>
    <t xml:space="preserve">      To apply the Apache License to your work, attach the following</t>
  </si>
  <si>
    <t xml:space="preserve">      boilerplate notice, with the fields enclosed by brackets "[]"</t>
  </si>
  <si>
    <t xml:space="preserve">      replaced with your own identifying information. (Don't include</t>
  </si>
  <si>
    <t xml:space="preserve">      the brackets!)  The text should be enclosed in the appropriate</t>
  </si>
  <si>
    <t xml:space="preserve">      comment syntax for the file format. We also recommend that a</t>
  </si>
  <si>
    <t xml:space="preserve">      file or class name and description of purpose be included on the</t>
  </si>
  <si>
    <t xml:space="preserve">      same "printed page" as the copyright notice for easier</t>
  </si>
  <si>
    <t xml:space="preserve">      identification within third-party archives.</t>
  </si>
  <si>
    <t xml:space="preserve">   Copyright [yyyy] [name of copyright owner]</t>
  </si>
  <si>
    <t xml:space="preserve">   Licensed under the Apache License, Version 2.0 (the "License");</t>
  </si>
  <si>
    <t xml:space="preserve">   you may not use this file except in compliance with the License.</t>
  </si>
  <si>
    <t xml:space="preserve">   You may obtain a copy of the License at</t>
  </si>
  <si>
    <t xml:space="preserve">       http://www.apache.org/licenses/LICENSE-2.0</t>
  </si>
  <si>
    <t xml:space="preserve">   Unless required by applicable law or agreed to in writing, software</t>
  </si>
  <si>
    <t xml:space="preserve">   distributed under the License is distributed on an "AS IS" BASIS,</t>
  </si>
  <si>
    <t xml:space="preserve">   WITHOUT WARRANTIES OR CONDITIONS OF ANY KIND, either express or implied.</t>
  </si>
  <si>
    <t xml:space="preserve">   See the License for the specific language governing permissions and</t>
  </si>
  <si>
    <t xml:space="preserve">   limitations under the License.</t>
  </si>
  <si>
    <t>Linked to Source Data</t>
  </si>
  <si>
    <t>Distinct LOB's from Data</t>
  </si>
  <si>
    <t>Summarised Input Data</t>
  </si>
  <si>
    <t>Reinsurer Impact</t>
  </si>
  <si>
    <t>Calculated Fields</t>
  </si>
  <si>
    <t>Summarised Calculated Net Fields</t>
  </si>
  <si>
    <t>Summarised Reinsurer Impact Fields</t>
  </si>
  <si>
    <t>Volume Measures</t>
  </si>
  <si>
    <t>Chosen Volume Measures</t>
  </si>
  <si>
    <t>Std Deviations</t>
  </si>
  <si>
    <t>Premium and Reserve Risk Calculations</t>
  </si>
  <si>
    <t>Final Result</t>
  </si>
  <si>
    <t>You can read more about the function here: https://github.com/clive-africa/magnus/wiki/Premium-Reserve</t>
  </si>
  <si>
    <t>NOTICE, LICENSE</t>
  </si>
  <si>
    <t>It details the License and Copyright requirements.</t>
  </si>
  <si>
    <t>PremRes Proof</t>
  </si>
  <si>
    <t>Example Profile Output</t>
  </si>
  <si>
    <t>It is designed to show users the output from the function and how it can be used.</t>
  </si>
  <si>
    <t>It also has the arguments to ensure that the Magnus functions are registered in Excel with links to the help files.</t>
  </si>
  <si>
    <t>Help</t>
  </si>
  <si>
    <t>There is a detailed help file available at:</t>
  </si>
  <si>
    <t>Single Overall Calculation</t>
  </si>
  <si>
    <t>Multiple Division Example</t>
  </si>
  <si>
    <t>FNP</t>
  </si>
  <si>
    <t>Please ensure that you read these worksheets and are familiar with their content.</t>
  </si>
  <si>
    <t>It further tries to provide users with an understanding of how the PremRes function works.</t>
  </si>
  <si>
    <t>This is used to help show that Magnus is working as expected.</t>
  </si>
  <si>
    <t>This contains the raw (unedited) output from the Profiler used in the workbook.</t>
  </si>
  <si>
    <t>This contains the metadata required for the various SAM calculations.</t>
  </si>
  <si>
    <t>There are a couple different sections to this workbook.</t>
  </si>
  <si>
    <t>These worksheets contian important information about the workbook and the underlying code.</t>
  </si>
  <si>
    <t>Please use this file to get more information on how to use the various functions within this Workbook.</t>
  </si>
  <si>
    <t>These worksheet(s) contain the various inputs that are required by Magnus.</t>
  </si>
  <si>
    <t>Where possible inputs have been separated from outputs.</t>
  </si>
  <si>
    <t>These worksheet(s) contain the various outputs generated by the various Magnus functions.</t>
  </si>
  <si>
    <t>These worksheets contain the various calculations required to replicate the Magnus PremRes function.</t>
  </si>
  <si>
    <t>Unfortunately some of the formulae here are longer than I would like.</t>
  </si>
  <si>
    <t>Original</t>
  </si>
  <si>
    <t>9a</t>
  </si>
  <si>
    <t>Mapped</t>
  </si>
  <si>
    <t>11a</t>
  </si>
  <si>
    <t>11b</t>
  </si>
  <si>
    <t>13a</t>
  </si>
  <si>
    <t>13b</t>
  </si>
  <si>
    <t>14ai</t>
  </si>
  <si>
    <t>14bi</t>
  </si>
  <si>
    <t>14bii</t>
  </si>
  <si>
    <t>15ai</t>
  </si>
  <si>
    <t>15bi</t>
  </si>
  <si>
    <t>15bii</t>
  </si>
  <si>
    <t>16ai</t>
  </si>
  <si>
    <t>16aii</t>
  </si>
  <si>
    <t>16aiii</t>
  </si>
  <si>
    <t>16b</t>
  </si>
  <si>
    <t>9b</t>
  </si>
  <si>
    <t>3ai</t>
  </si>
  <si>
    <t>3bi</t>
  </si>
  <si>
    <t>3aii</t>
  </si>
  <si>
    <t>3bii</t>
  </si>
  <si>
    <t>3aiii</t>
  </si>
  <si>
    <t>3biii</t>
  </si>
  <si>
    <t>5ai</t>
  </si>
  <si>
    <t>5bi</t>
  </si>
  <si>
    <t>5aii</t>
  </si>
  <si>
    <t>5bii</t>
  </si>
  <si>
    <t>6ai</t>
  </si>
  <si>
    <t>6bi</t>
  </si>
  <si>
    <t>6aii</t>
  </si>
  <si>
    <t>6bii</t>
  </si>
  <si>
    <t>7ai</t>
  </si>
  <si>
    <t>7bi</t>
  </si>
  <si>
    <t>7aii</t>
  </si>
  <si>
    <t>7bii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</si>
</sst>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43" formatCode="_-* #,##0.00_-;\-* #,##0.00_-;_-* &quot;-&quot;??_-;_-@_-"/>
    <numFmt numFmtId="164" formatCode="_(* #,##0_);_(* \(#,##0\);_(* &quot;-&quot;??_);_(@_)"/>
    <numFmt numFmtId="165" formatCode="_-* #,##0_-;\-* #,##0_-;_-* &quot;-&quot;??_-;_-@_-"/>
    <numFmt numFmtId="166" formatCode="0.0%"/>
    <numFmt numFmtId="167" formatCode="_-* #,##0.0_-;\-* #,##0.0_-;_-* &quot;-&quot;?_-;_-@_-"/>
    <numFmt numFmtId="168" formatCode="_ * #,##0.00_ ;_ * \-#,##0.00_ ;_ * &quot;-&quot;??_ ;_ @_ "/>
    <numFmt numFmtId="169" formatCode="0.000%"/>
    <numFmt numFmtId="170" formatCode="_-* #,##0.0000_-;\-* #,##0.0000_-;_-* &quot;-&quot;??_-;_-@_-"/>
    <numFmt numFmtId="171" formatCode="0.000000"/>
    <numFmt numFmtId="172" formatCode="0.0000"/>
    <numFmt numFmtId="173" formatCode="0.0"/>
    <numFmt numFmtId="177" formatCode="_-* #,##0.00_-;\-* #,##0.00_-;_-* &quot;-&quot;??_-;_-@_-"/>
    <numFmt numFmtId="183" formatCode="#,##0.00_ ;[Red]\-#,##0.00;\-"/>
    <numFmt numFmtId="184" formatCode="#,##0.00_ ;[Red]\-#,##0.00\ "/>
    <numFmt numFmtId="185" formatCode="#,##0_ ;[Red]\-#,##0\ "/>
    <numFmt numFmtId="186" formatCode="yyyy"/>
    <numFmt numFmtId="187" formatCode="mm\-yy"/>
    <numFmt numFmtId="188" formatCode="\ \ \ \ \ @"/>
    <numFmt numFmtId="189" formatCode="_-* #,##0.00\ _F_-;\-* #,##0.00\ _F_-;_-* &quot;-&quot;??\ _F_-;_-@_-"/>
    <numFmt numFmtId="190" formatCode="&quot;£&quot;#,##0_);[Red]\(&quot;£&quot;#,##0\)"/>
    <numFmt numFmtId="191" formatCode="#,##0.00\ &quot;Pts&quot;;[Red]\-#,##0.00\ &quot;Pts&quot;"/>
    <numFmt numFmtId="192" formatCode="_-&quot;L.&quot;\ * #,##0_-;\-&quot;L.&quot;\ * #,##0_-;_-&quot;L.&quot;\ * &quot;-&quot;_-;_-@_-"/>
    <numFmt numFmtId="193" formatCode="_-* #,##0\ _D_M_-;\-* #,##0\ _D_M_-;_-* &quot;-&quot;\ _D_M_-;_-@_-"/>
    <numFmt numFmtId="194" formatCode="_-* #,##0.00\ _D_M_-;\-* #,##0.00\ _D_M_-;_-* &quot;-&quot;??\ _D_M_-;_-@_-"/>
    <numFmt numFmtId="195" formatCode="_-[$€-2]\ * #,##0.00_-;_-[$€-2]\ * #,##0.00\-;_-[$€-2]\ * &quot;-&quot;??_-"/>
    <numFmt numFmtId="196" formatCode="_-* #,##0.00\ [$€-1]_-;\-* #,##0.00\ [$€-1]_-;_-* &quot;-&quot;??\ [$€-1]_-"/>
    <numFmt numFmtId="197" formatCode="#,##0.00;\(#,##0.00\)"/>
    <numFmt numFmtId="198" formatCode="_-* #,##0\ _F_-;\-* #,##0\ _F_-;_-* &quot;-&quot;\ _F_-;_-@_-"/>
    <numFmt numFmtId="199" formatCode="_-* #,##0\ &quot;F&quot;_-;\-* #,##0\ &quot;F&quot;_-;_-* &quot;-&quot;\ &quot;F&quot;_-;_-@_-"/>
    <numFmt numFmtId="200" formatCode="_-* #,##0.00\ &quot;F&quot;_-;\-* #,##0.00\ &quot;F&quot;_-;_-* &quot;-&quot;??\ &quot;F&quot;_-;_-@_-"/>
    <numFmt numFmtId="201" formatCode="&quot;R&quot;#,##0.00_-;[Red]&quot;R&quot;#,##0.00\-"/>
    <numFmt numFmtId="202" formatCode="00"/>
    <numFmt numFmtId="203" formatCode="####0.000"/>
    <numFmt numFmtId="204" formatCode="#,##0\ &quot;DM&quot;;[Red]\-#,##0\ &quot;DM&quot;"/>
    <numFmt numFmtId="205" formatCode="_-* #,##0_-;_-* #,##0\-;_-* &quot;-&quot;_-;_-@_-"/>
    <numFmt numFmtId="206" formatCode="&quot;R&quot;#,##0.00_-;&quot;R&quot;#,##0.00\-"/>
    <numFmt numFmtId="207" formatCode="_ * #,##0_)\ _F_ ;_ * \(#,##0\)\ _F_ ;_ * &quot;-&quot;_)\ _F_ ;_ @_ "/>
    <numFmt numFmtId="208" formatCode="_-* #,##0\ &quot;DM&quot;_-;\-* #,##0\ &quot;DM&quot;_-;_-* &quot;-&quot;\ &quot;DM&quot;_-;_-@_-"/>
    <numFmt numFmtId="209" formatCode="_-* #,##0.00\ &quot;DM&quot;_-;\-* #,##0.00\ &quot;DM&quot;_-;_-* &quot;-&quot;??\ &quot;DM&quot;_-;_-@_-"/>
    <numFmt numFmtId="210" formatCode="_ &quot;SFr.&quot;\ * #,##0.00_ ;_ &quot;SFr.&quot;\ * \-#,##0.00_ ;_ &quot;SFr.&quot;\ * &quot;-&quot;??_ ;_ @_ 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4"/>
      <color rgb="FF4472C4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Arial Unicode MS"/>
    </font>
    <font>
      <sz val="9"/>
      <name val="Arial"/>
      <family val="2"/>
    </font>
    <font>
      <b/>
      <sz val="9"/>
      <name val="Arial"/>
      <family val="2"/>
    </font>
    <font>
      <sz val="10"/>
      <color indexed="1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sz val="10"/>
      <color theme="0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i/>
      <sz val="10"/>
      <name val="Arial"/>
      <family val="2"/>
    </font>
    <font>
      <b/>
      <i/>
      <sz val="12"/>
      <color indexed="18"/>
      <name val="Arial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1"/>
      <color indexed="40"/>
      <name val="Aptos Narrow"/>
      <family val="2"/>
      <scheme val="minor"/>
    </font>
    <font>
      <sz val="10"/>
      <color indexed="9"/>
      <name val="Arial"/>
      <family val="2"/>
    </font>
    <font>
      <b/>
      <sz val="18"/>
      <color indexed="18"/>
      <name val="Arial"/>
      <family val="2"/>
    </font>
    <font>
      <sz val="16"/>
      <color indexed="18"/>
      <name val="Arial"/>
      <family val="2"/>
    </font>
    <font>
      <sz val="10"/>
      <color indexed="21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indexed="40"/>
      <name val="Aptos Narrow"/>
      <family val="2"/>
      <scheme val="minor"/>
    </font>
    <font>
      <sz val="11"/>
      <color indexed="8"/>
      <name val="Arial"/>
      <family val="2"/>
    </font>
    <font>
      <sz val="9"/>
      <name val="Courier New"/>
      <family val="3"/>
    </font>
    <font>
      <sz val="10"/>
      <name val="Times New Roman"/>
      <family val="1"/>
    </font>
    <font>
      <sz val="10"/>
      <name val="Helv"/>
    </font>
    <font>
      <sz val="10"/>
      <name val="Courier"/>
      <family val="3"/>
    </font>
    <font>
      <sz val="11"/>
      <color indexed="62"/>
      <name val="Calibri"/>
      <family val="2"/>
    </font>
    <font>
      <sz val="24"/>
      <color indexed="13"/>
      <name val="SWISS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2"/>
      <color indexed="18"/>
      <name val="Arial"/>
      <family val="2"/>
    </font>
    <font>
      <b/>
      <sz val="12"/>
      <name val="SWISS"/>
    </font>
    <font>
      <sz val="10"/>
      <color indexed="0"/>
      <name val="Arial"/>
      <family val="2"/>
    </font>
    <font>
      <sz val="11"/>
      <color indexed="17"/>
      <name val="Calibri"/>
      <family val="2"/>
    </font>
    <font>
      <sz val="8"/>
      <name val="MS Sans Serif"/>
      <family val="2"/>
    </font>
    <font>
      <sz val="10"/>
      <color indexed="17"/>
      <name val="Arial"/>
      <family val="2"/>
    </font>
    <font>
      <b/>
      <sz val="15"/>
      <color indexed="45"/>
      <name val="Aptos Narrow"/>
      <family val="2"/>
      <scheme val="minor"/>
    </font>
    <font>
      <b/>
      <sz val="15"/>
      <color indexed="56"/>
      <name val="Calibri"/>
      <family val="2"/>
    </font>
    <font>
      <b/>
      <sz val="13"/>
      <color indexed="45"/>
      <name val="Aptos Narrow"/>
      <family val="2"/>
      <scheme val="minor"/>
    </font>
    <font>
      <b/>
      <sz val="13"/>
      <color indexed="56"/>
      <name val="Calibri"/>
      <family val="2"/>
    </font>
    <font>
      <b/>
      <sz val="11"/>
      <color indexed="45"/>
      <name val="Aptos Narrow"/>
      <family val="2"/>
      <scheme val="minor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hadow/>
      <sz val="8"/>
      <color indexed="12"/>
      <name val="Times New Roman"/>
      <family val="1"/>
    </font>
    <font>
      <sz val="11"/>
      <color indexed="60"/>
      <name val="Calibri"/>
      <family val="2"/>
    </font>
    <font>
      <sz val="8"/>
      <name val="Courier New"/>
      <family val="3"/>
    </font>
    <font>
      <sz val="12"/>
      <name val="Times New Roman"/>
      <family val="1"/>
    </font>
    <font>
      <sz val="10"/>
      <name val="MS Sans Serif"/>
      <family val="2"/>
    </font>
    <font>
      <b/>
      <sz val="18"/>
      <color indexed="56"/>
      <name val="Cambria"/>
      <family val="2"/>
    </font>
    <font>
      <b/>
      <sz val="11"/>
      <color indexed="61"/>
      <name val="Aptos Narrow"/>
      <family val="2"/>
      <scheme val="minor"/>
    </font>
    <font>
      <b/>
      <i/>
      <sz val="10"/>
      <color indexed="9"/>
      <name val="Arial"/>
      <family val="2"/>
    </font>
    <font>
      <sz val="8"/>
      <name val="Arial Narrow"/>
      <family val="2"/>
    </font>
    <font>
      <i/>
      <sz val="9"/>
      <name val="Arial"/>
      <family val="2"/>
    </font>
    <font>
      <i/>
      <sz val="10"/>
      <color indexed="10"/>
      <name val="Arial"/>
      <family val="2"/>
    </font>
    <font>
      <sz val="9"/>
      <name val="Times New Roman"/>
      <family val="1"/>
    </font>
    <font>
      <u/>
      <sz val="8"/>
      <name val="Times New Roman"/>
      <family val="1"/>
    </font>
    <font>
      <b/>
      <sz val="10"/>
      <color indexed="10"/>
      <name val="Helv"/>
    </font>
    <font>
      <b/>
      <i/>
      <sz val="10"/>
      <color indexed="10"/>
      <name val="Helv"/>
    </font>
    <font>
      <sz val="10"/>
      <color indexed="20"/>
      <name val="Arial"/>
      <family val="2"/>
    </font>
    <font>
      <b/>
      <sz val="12"/>
      <name val="Univers (WN)"/>
    </font>
    <font>
      <b/>
      <sz val="18"/>
      <color indexed="45"/>
      <name val="Aptos Display"/>
      <family val="2"/>
      <scheme val="major"/>
    </font>
    <font>
      <b/>
      <sz val="10"/>
      <color indexed="18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2"/>
      <color indexed="8"/>
      <name val="Aquiline Book"/>
      <family val="2"/>
    </font>
    <font>
      <sz val="10"/>
      <name val="Univers (E1)"/>
    </font>
    <font>
      <sz val="10"/>
      <color indexed="52"/>
      <name val="Arial"/>
      <family val="2"/>
    </font>
    <font>
      <b/>
      <sz val="10"/>
      <color indexed="9"/>
      <name val="Arial"/>
      <family val="2"/>
    </font>
  </fonts>
  <fills count="9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1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3"/>
      </patternFill>
    </fill>
    <fill>
      <patternFill patternType="solid">
        <fgColor indexed="53"/>
      </patternFill>
    </fill>
    <fill>
      <patternFill patternType="gray125">
        <fgColor indexed="13"/>
      </patternFill>
    </fill>
    <fill>
      <patternFill patternType="lightGray">
        <fgColor indexed="13"/>
      </patternFill>
    </fill>
    <fill>
      <patternFill patternType="solid">
        <fgColor indexed="65"/>
        <bgColor indexed="13"/>
      </patternFill>
    </fill>
    <fill>
      <patternFill patternType="solid">
        <fgColor indexed="9"/>
        <bgColor indexed="13"/>
      </patternFill>
    </fill>
    <fill>
      <patternFill patternType="solid">
        <fgColor indexed="26"/>
      </patternFill>
    </fill>
    <fill>
      <patternFill patternType="solid">
        <fgColor indexed="12"/>
        <bgColor indexed="12"/>
      </patternFill>
    </fill>
    <fill>
      <patternFill patternType="solid">
        <fgColor indexed="13"/>
        <bgColor indexed="13"/>
      </patternFill>
    </fill>
    <fill>
      <patternFill patternType="gray125">
        <fgColor indexed="8"/>
        <bgColor indexed="9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-0.49998474074526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22"/>
      </bottom>
      <diagonal/>
    </border>
    <border>
      <left/>
      <right/>
      <top/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1"/>
      </left>
      <right style="double">
        <color indexed="61"/>
      </right>
      <top style="double">
        <color indexed="61"/>
      </top>
      <bottom style="double">
        <color indexed="6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/>
      <top/>
      <bottom/>
      <diagonal/>
    </border>
    <border>
      <left style="hair">
        <color indexed="10"/>
      </left>
      <right/>
      <top style="hair">
        <color indexed="10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44"/>
      </top>
      <bottom style="double">
        <color indexed="4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83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8" applyNumberFormat="0" applyFill="0" applyAlignment="0" applyProtection="0"/>
    <xf numFmtId="0" fontId="5" fillId="0" borderId="9" applyNumberFormat="0" applyFill="0" applyAlignment="0" applyProtection="0"/>
    <xf numFmtId="0" fontId="6" fillId="0" borderId="10" applyNumberFormat="0" applyFill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7" borderId="11" applyNumberFormat="0" applyAlignment="0" applyProtection="0"/>
    <xf numFmtId="0" fontId="10" fillId="8" borderId="12" applyNumberFormat="0" applyAlignment="0" applyProtection="0"/>
    <xf numFmtId="0" fontId="11" fillId="8" borderId="11" applyNumberFormat="0" applyAlignment="0" applyProtection="0"/>
    <xf numFmtId="0" fontId="12" fillId="0" borderId="13" applyNumberFormat="0" applyFill="0" applyAlignment="0" applyProtection="0"/>
    <xf numFmtId="0" fontId="13" fillId="9" borderId="14" applyNumberFormat="0" applyAlignment="0" applyProtection="0"/>
    <xf numFmtId="0" fontId="14" fillId="0" borderId="0" applyNumberFormat="0" applyFill="0" applyBorder="0" applyAlignment="0" applyProtection="0"/>
    <xf numFmtId="0" fontId="1" fillId="10" borderId="15" applyNumberFormat="0" applyFont="0" applyAlignment="0" applyProtection="0"/>
    <xf numFmtId="0" fontId="15" fillId="0" borderId="0" applyNumberFormat="0" applyFill="0" applyBorder="0" applyAlignment="0" applyProtection="0"/>
    <xf numFmtId="0" fontId="2" fillId="0" borderId="16" applyNumberFormat="0" applyFill="0" applyAlignment="0" applyProtection="0"/>
    <xf numFmtId="0" fontId="16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6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6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6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6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6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168" fontId="1" fillId="0" borderId="0" applyFont="0" applyFill="0" applyBorder="0" applyAlignment="0" applyProtection="0"/>
    <xf numFmtId="0" fontId="17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8" fillId="6" borderId="0" applyNumberFormat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6" fillId="14" borderId="0" applyNumberFormat="0" applyBorder="0" applyAlignment="0" applyProtection="0"/>
    <xf numFmtId="0" fontId="16" fillId="18" borderId="0" applyNumberFormat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20" fillId="0" borderId="0"/>
    <xf numFmtId="0" fontId="1" fillId="0" borderId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37" fillId="0" borderId="0" applyNumberFormat="0" applyFon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48" borderId="0" applyNumberFormat="0" applyFont="0" applyFill="0" applyBorder="0" applyAlignment="0"/>
    <xf numFmtId="0" fontId="19" fillId="0" borderId="0"/>
    <xf numFmtId="0" fontId="19" fillId="49" borderId="0"/>
    <xf numFmtId="0" fontId="34" fillId="49" borderId="0"/>
    <xf numFmtId="0" fontId="39" fillId="49" borderId="0"/>
    <xf numFmtId="0" fontId="41" fillId="49" borderId="0"/>
    <xf numFmtId="0" fontId="42" fillId="49" borderId="0"/>
    <xf numFmtId="0" fontId="31" fillId="49" borderId="0"/>
    <xf numFmtId="0" fontId="33" fillId="49" borderId="0"/>
    <xf numFmtId="183" fontId="19" fillId="50" borderId="36"/>
    <xf numFmtId="183" fontId="19" fillId="50" borderId="36"/>
    <xf numFmtId="184" fontId="19" fillId="0" borderId="37">
      <protection locked="0"/>
    </xf>
    <xf numFmtId="185" fontId="19" fillId="0" borderId="37">
      <protection locked="0"/>
    </xf>
    <xf numFmtId="185" fontId="19" fillId="0" borderId="37">
      <protection locked="0"/>
    </xf>
    <xf numFmtId="184" fontId="19" fillId="0" borderId="37">
      <protection locked="0"/>
    </xf>
    <xf numFmtId="185" fontId="19" fillId="0" borderId="37">
      <protection locked="0"/>
    </xf>
    <xf numFmtId="184" fontId="19" fillId="51" borderId="37">
      <protection hidden="1"/>
    </xf>
    <xf numFmtId="184" fontId="19" fillId="50" borderId="37">
      <protection hidden="1"/>
    </xf>
    <xf numFmtId="184" fontId="34" fillId="0" borderId="0">
      <protection hidden="1"/>
    </xf>
    <xf numFmtId="0" fontId="39" fillId="50" borderId="0"/>
    <xf numFmtId="0" fontId="19" fillId="49" borderId="0"/>
    <xf numFmtId="0" fontId="34" fillId="49" borderId="0"/>
    <xf numFmtId="0" fontId="39" fillId="49" borderId="0"/>
    <xf numFmtId="0" fontId="19" fillId="49" borderId="0"/>
    <xf numFmtId="0" fontId="42" fillId="49" borderId="0"/>
    <xf numFmtId="0" fontId="31" fillId="49" borderId="0"/>
    <xf numFmtId="0" fontId="33" fillId="49" borderId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44" fillId="52" borderId="0" applyNumberFormat="0" applyBorder="0" applyAlignment="0" applyProtection="0"/>
    <xf numFmtId="0" fontId="44" fillId="53" borderId="0" applyNumberFormat="0" applyBorder="0" applyAlignment="0" applyProtection="0"/>
    <xf numFmtId="0" fontId="44" fillId="54" borderId="0" applyNumberFormat="0" applyBorder="0" applyAlignment="0" applyProtection="0"/>
    <xf numFmtId="0" fontId="44" fillId="55" borderId="0" applyNumberFormat="0" applyBorder="0" applyAlignment="0" applyProtection="0"/>
    <xf numFmtId="0" fontId="44" fillId="56" borderId="0" applyNumberFormat="0" applyBorder="0" applyAlignment="0" applyProtection="0"/>
    <xf numFmtId="0" fontId="44" fillId="57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5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55" borderId="0" applyNumberFormat="0" applyBorder="0" applyAlignment="0" applyProtection="0"/>
    <xf numFmtId="0" fontId="44" fillId="61" borderId="0" applyNumberFormat="0" applyBorder="0" applyAlignment="0" applyProtection="0"/>
    <xf numFmtId="0" fontId="44" fillId="64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2" borderId="0" applyNumberFormat="0" applyBorder="0" applyAlignment="0" applyProtection="0"/>
    <xf numFmtId="0" fontId="43" fillId="62" borderId="0" applyNumberFormat="0" applyBorder="0" applyAlignment="0" applyProtection="0"/>
    <xf numFmtId="0" fontId="43" fillId="63" borderId="0" applyNumberFormat="0" applyBorder="0" applyAlignment="0" applyProtection="0"/>
    <xf numFmtId="0" fontId="43" fillId="6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61" borderId="0" applyNumberFormat="0" applyBorder="0" applyAlignment="0" applyProtection="0"/>
    <xf numFmtId="0" fontId="43" fillId="61" borderId="0" applyNumberFormat="0" applyBorder="0" applyAlignment="0" applyProtection="0"/>
    <xf numFmtId="0" fontId="43" fillId="64" borderId="0" applyNumberFormat="0" applyBorder="0" applyAlignment="0" applyProtection="0"/>
    <xf numFmtId="0" fontId="43" fillId="64" borderId="0" applyNumberFormat="0" applyBorder="0" applyAlignment="0" applyProtection="0"/>
    <xf numFmtId="0" fontId="45" fillId="66" borderId="0" applyNumberFormat="0" applyBorder="0" applyAlignment="0" applyProtection="0"/>
    <xf numFmtId="0" fontId="45" fillId="62" borderId="0" applyNumberFormat="0" applyBorder="0" applyAlignment="0" applyProtection="0"/>
    <xf numFmtId="0" fontId="45" fillId="63" borderId="0" applyNumberFormat="0" applyBorder="0" applyAlignment="0" applyProtection="0"/>
    <xf numFmtId="0" fontId="45" fillId="67" borderId="0" applyNumberFormat="0" applyBorder="0" applyAlignment="0" applyProtection="0"/>
    <xf numFmtId="0" fontId="45" fillId="68" borderId="0" applyNumberFormat="0" applyBorder="0" applyAlignment="0" applyProtection="0"/>
    <xf numFmtId="0" fontId="45" fillId="69" borderId="0" applyNumberFormat="0" applyBorder="0" applyAlignment="0" applyProtection="0"/>
    <xf numFmtId="0" fontId="45" fillId="66" borderId="0" applyNumberFormat="0" applyBorder="0" applyAlignment="0" applyProtection="0"/>
    <xf numFmtId="0" fontId="45" fillId="62" borderId="0" applyNumberFormat="0" applyBorder="0" applyAlignment="0" applyProtection="0"/>
    <xf numFmtId="0" fontId="45" fillId="63" borderId="0" applyNumberFormat="0" applyBorder="0" applyAlignment="0" applyProtection="0"/>
    <xf numFmtId="0" fontId="45" fillId="67" borderId="0" applyNumberFormat="0" applyBorder="0" applyAlignment="0" applyProtection="0"/>
    <xf numFmtId="0" fontId="45" fillId="68" borderId="0" applyNumberFormat="0" applyBorder="0" applyAlignment="0" applyProtection="0"/>
    <xf numFmtId="0" fontId="45" fillId="69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5" fillId="62" borderId="0" applyNumberFormat="0" applyBorder="0" applyAlignment="0" applyProtection="0"/>
    <xf numFmtId="0" fontId="45" fillId="62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6" fillId="54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5" fillId="63" borderId="0" applyNumberFormat="0" applyBorder="0" applyAlignment="0" applyProtection="0"/>
    <xf numFmtId="0" fontId="45" fillId="63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5" fillId="67" borderId="0" applyNumberFormat="0" applyBorder="0" applyAlignment="0" applyProtection="0"/>
    <xf numFmtId="0" fontId="45" fillId="67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5" fillId="68" borderId="0" applyNumberFormat="0" applyBorder="0" applyAlignment="0" applyProtection="0"/>
    <xf numFmtId="0" fontId="45" fillId="68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5" fillId="69" borderId="0" applyNumberFormat="0" applyBorder="0" applyAlignment="0" applyProtection="0"/>
    <xf numFmtId="0" fontId="45" fillId="69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6" fillId="62" borderId="0" applyNumberFormat="0" applyBorder="0" applyAlignment="0" applyProtection="0"/>
    <xf numFmtId="0" fontId="47" fillId="66" borderId="0" applyNumberFormat="0" applyBorder="0" applyAlignment="0" applyProtection="0"/>
    <xf numFmtId="0" fontId="47" fillId="62" borderId="0" applyNumberFormat="0" applyBorder="0" applyAlignment="0" applyProtection="0"/>
    <xf numFmtId="0" fontId="47" fillId="63" borderId="0" applyNumberFormat="0" applyBorder="0" applyAlignment="0" applyProtection="0"/>
    <xf numFmtId="0" fontId="47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45" fillId="66" borderId="0" applyNumberFormat="0" applyBorder="0" applyAlignment="0" applyProtection="0"/>
    <xf numFmtId="0" fontId="45" fillId="62" borderId="0" applyNumberFormat="0" applyBorder="0" applyAlignment="0" applyProtection="0"/>
    <xf numFmtId="0" fontId="45" fillId="63" borderId="0" applyNumberFormat="0" applyBorder="0" applyAlignment="0" applyProtection="0"/>
    <xf numFmtId="0" fontId="45" fillId="67" borderId="0" applyNumberFormat="0" applyBorder="0" applyAlignment="0" applyProtection="0"/>
    <xf numFmtId="0" fontId="45" fillId="68" borderId="0" applyNumberFormat="0" applyBorder="0" applyAlignment="0" applyProtection="0"/>
    <xf numFmtId="0" fontId="45" fillId="69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5" fillId="71" borderId="0" applyNumberFormat="0" applyBorder="0" applyAlignment="0" applyProtection="0"/>
    <xf numFmtId="0" fontId="45" fillId="71" borderId="0" applyNumberFormat="0" applyBorder="0" applyAlignment="0" applyProtection="0"/>
    <xf numFmtId="0" fontId="45" fillId="71" borderId="0" applyNumberFormat="0" applyBorder="0" applyAlignment="0" applyProtection="0"/>
    <xf numFmtId="0" fontId="45" fillId="71" borderId="0" applyNumberFormat="0" applyBorder="0" applyAlignment="0" applyProtection="0"/>
    <xf numFmtId="0" fontId="46" fillId="61" borderId="0" applyNumberFormat="0" applyBorder="0" applyAlignment="0" applyProtection="0"/>
    <xf numFmtId="0" fontId="45" fillId="71" borderId="0" applyNumberFormat="0" applyBorder="0" applyAlignment="0" applyProtection="0"/>
    <xf numFmtId="0" fontId="45" fillId="71" borderId="0" applyNumberFormat="0" applyBorder="0" applyAlignment="0" applyProtection="0"/>
    <xf numFmtId="0" fontId="46" fillId="61" borderId="0" applyNumberFormat="0" applyBorder="0" applyAlignment="0" applyProtection="0"/>
    <xf numFmtId="0" fontId="45" fillId="71" borderId="0" applyNumberFormat="0" applyBorder="0" applyAlignment="0" applyProtection="0"/>
    <xf numFmtId="0" fontId="45" fillId="7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1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5" fillId="72" borderId="0" applyNumberFormat="0" applyBorder="0" applyAlignment="0" applyProtection="0"/>
    <xf numFmtId="0" fontId="45" fillId="72" borderId="0" applyNumberFormat="0" applyBorder="0" applyAlignment="0" applyProtection="0"/>
    <xf numFmtId="0" fontId="45" fillId="72" borderId="0" applyNumberFormat="0" applyBorder="0" applyAlignment="0" applyProtection="0"/>
    <xf numFmtId="0" fontId="45" fillId="72" borderId="0" applyNumberFormat="0" applyBorder="0" applyAlignment="0" applyProtection="0"/>
    <xf numFmtId="0" fontId="46" fillId="65" borderId="0" applyNumberFormat="0" applyBorder="0" applyAlignment="0" applyProtection="0"/>
    <xf numFmtId="0" fontId="45" fillId="72" borderId="0" applyNumberFormat="0" applyBorder="0" applyAlignment="0" applyProtection="0"/>
    <xf numFmtId="0" fontId="45" fillId="72" borderId="0" applyNumberFormat="0" applyBorder="0" applyAlignment="0" applyProtection="0"/>
    <xf numFmtId="0" fontId="46" fillId="65" borderId="0" applyNumberFormat="0" applyBorder="0" applyAlignment="0" applyProtection="0"/>
    <xf numFmtId="0" fontId="45" fillId="72" borderId="0" applyNumberFormat="0" applyBorder="0" applyAlignment="0" applyProtection="0"/>
    <xf numFmtId="0" fontId="45" fillId="72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5" fillId="73" borderId="0" applyNumberFormat="0" applyBorder="0" applyAlignment="0" applyProtection="0"/>
    <xf numFmtId="0" fontId="45" fillId="73" borderId="0" applyNumberFormat="0" applyBorder="0" applyAlignment="0" applyProtection="0"/>
    <xf numFmtId="0" fontId="45" fillId="73" borderId="0" applyNumberFormat="0" applyBorder="0" applyAlignment="0" applyProtection="0"/>
    <xf numFmtId="0" fontId="45" fillId="73" borderId="0" applyNumberFormat="0" applyBorder="0" applyAlignment="0" applyProtection="0"/>
    <xf numFmtId="0" fontId="46" fillId="65" borderId="0" applyNumberFormat="0" applyBorder="0" applyAlignment="0" applyProtection="0"/>
    <xf numFmtId="0" fontId="45" fillId="73" borderId="0" applyNumberFormat="0" applyBorder="0" applyAlignment="0" applyProtection="0"/>
    <xf numFmtId="0" fontId="45" fillId="73" borderId="0" applyNumberFormat="0" applyBorder="0" applyAlignment="0" applyProtection="0"/>
    <xf numFmtId="0" fontId="46" fillId="65" borderId="0" applyNumberFormat="0" applyBorder="0" applyAlignment="0" applyProtection="0"/>
    <xf numFmtId="0" fontId="45" fillId="73" borderId="0" applyNumberFormat="0" applyBorder="0" applyAlignment="0" applyProtection="0"/>
    <xf numFmtId="0" fontId="45" fillId="73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5" fillId="67" borderId="0" applyNumberFormat="0" applyBorder="0" applyAlignment="0" applyProtection="0"/>
    <xf numFmtId="0" fontId="45" fillId="67" borderId="0" applyNumberFormat="0" applyBorder="0" applyAlignment="0" applyProtection="0"/>
    <xf numFmtId="0" fontId="45" fillId="67" borderId="0" applyNumberFormat="0" applyBorder="0" applyAlignment="0" applyProtection="0"/>
    <xf numFmtId="0" fontId="45" fillId="67" borderId="0" applyNumberFormat="0" applyBorder="0" applyAlignment="0" applyProtection="0"/>
    <xf numFmtId="0" fontId="46" fillId="74" borderId="0" applyNumberFormat="0" applyBorder="0" applyAlignment="0" applyProtection="0"/>
    <xf numFmtId="0" fontId="45" fillId="67" borderId="0" applyNumberFormat="0" applyBorder="0" applyAlignment="0" applyProtection="0"/>
    <xf numFmtId="0" fontId="45" fillId="67" borderId="0" applyNumberFormat="0" applyBorder="0" applyAlignment="0" applyProtection="0"/>
    <xf numFmtId="0" fontId="46" fillId="74" borderId="0" applyNumberFormat="0" applyBorder="0" applyAlignment="0" applyProtection="0"/>
    <xf numFmtId="0" fontId="45" fillId="67" borderId="0" applyNumberFormat="0" applyBorder="0" applyAlignment="0" applyProtection="0"/>
    <xf numFmtId="0" fontId="45" fillId="67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6" fillId="74" borderId="0" applyNumberFormat="0" applyBorder="0" applyAlignment="0" applyProtection="0"/>
    <xf numFmtId="0" fontId="46" fillId="27" borderId="0" applyNumberFormat="0" applyBorder="0" applyAlignment="0" applyProtection="0"/>
    <xf numFmtId="0" fontId="46" fillId="27" borderId="0" applyNumberFormat="0" applyBorder="0" applyAlignment="0" applyProtection="0"/>
    <xf numFmtId="0" fontId="46" fillId="27" borderId="0" applyNumberFormat="0" applyBorder="0" applyAlignment="0" applyProtection="0"/>
    <xf numFmtId="0" fontId="46" fillId="27" borderId="0" applyNumberFormat="0" applyBorder="0" applyAlignment="0" applyProtection="0"/>
    <xf numFmtId="0" fontId="46" fillId="27" borderId="0" applyNumberFormat="0" applyBorder="0" applyAlignment="0" applyProtection="0"/>
    <xf numFmtId="0" fontId="46" fillId="27" borderId="0" applyNumberFormat="0" applyBorder="0" applyAlignment="0" applyProtection="0"/>
    <xf numFmtId="0" fontId="46" fillId="27" borderId="0" applyNumberFormat="0" applyBorder="0" applyAlignment="0" applyProtection="0"/>
    <xf numFmtId="0" fontId="46" fillId="27" borderId="0" applyNumberFormat="0" applyBorder="0" applyAlignment="0" applyProtection="0"/>
    <xf numFmtId="0" fontId="46" fillId="27" borderId="0" applyNumberFormat="0" applyBorder="0" applyAlignment="0" applyProtection="0"/>
    <xf numFmtId="0" fontId="45" fillId="68" borderId="0" applyNumberFormat="0" applyBorder="0" applyAlignment="0" applyProtection="0"/>
    <xf numFmtId="0" fontId="45" fillId="68" borderId="0" applyNumberFormat="0" applyBorder="0" applyAlignment="0" applyProtection="0"/>
    <xf numFmtId="0" fontId="45" fillId="68" borderId="0" applyNumberFormat="0" applyBorder="0" applyAlignment="0" applyProtection="0"/>
    <xf numFmtId="0" fontId="45" fillId="68" borderId="0" applyNumberFormat="0" applyBorder="0" applyAlignment="0" applyProtection="0"/>
    <xf numFmtId="0" fontId="46" fillId="27" borderId="0" applyNumberFormat="0" applyBorder="0" applyAlignment="0" applyProtection="0"/>
    <xf numFmtId="0" fontId="45" fillId="68" borderId="0" applyNumberFormat="0" applyBorder="0" applyAlignment="0" applyProtection="0"/>
    <xf numFmtId="0" fontId="45" fillId="68" borderId="0" applyNumberFormat="0" applyBorder="0" applyAlignment="0" applyProtection="0"/>
    <xf numFmtId="0" fontId="46" fillId="27" borderId="0" applyNumberFormat="0" applyBorder="0" applyAlignment="0" applyProtection="0"/>
    <xf numFmtId="0" fontId="45" fillId="68" borderId="0" applyNumberFormat="0" applyBorder="0" applyAlignment="0" applyProtection="0"/>
    <xf numFmtId="0" fontId="45" fillId="68" borderId="0" applyNumberFormat="0" applyBorder="0" applyAlignment="0" applyProtection="0"/>
    <xf numFmtId="0" fontId="46" fillId="27" borderId="0" applyNumberFormat="0" applyBorder="0" applyAlignment="0" applyProtection="0"/>
    <xf numFmtId="0" fontId="46" fillId="27" borderId="0" applyNumberFormat="0" applyBorder="0" applyAlignment="0" applyProtection="0"/>
    <xf numFmtId="0" fontId="46" fillId="27" borderId="0" applyNumberFormat="0" applyBorder="0" applyAlignment="0" applyProtection="0"/>
    <xf numFmtId="0" fontId="46" fillId="27" borderId="0" applyNumberFormat="0" applyBorder="0" applyAlignment="0" applyProtection="0"/>
    <xf numFmtId="0" fontId="46" fillId="75" borderId="0" applyNumberFormat="0" applyBorder="0" applyAlignment="0" applyProtection="0"/>
    <xf numFmtId="0" fontId="46" fillId="75" borderId="0" applyNumberFormat="0" applyBorder="0" applyAlignment="0" applyProtection="0"/>
    <xf numFmtId="0" fontId="46" fillId="75" borderId="0" applyNumberFormat="0" applyBorder="0" applyAlignment="0" applyProtection="0"/>
    <xf numFmtId="0" fontId="46" fillId="75" borderId="0" applyNumberFormat="0" applyBorder="0" applyAlignment="0" applyProtection="0"/>
    <xf numFmtId="0" fontId="46" fillId="75" borderId="0" applyNumberFormat="0" applyBorder="0" applyAlignment="0" applyProtection="0"/>
    <xf numFmtId="0" fontId="46" fillId="75" borderId="0" applyNumberFormat="0" applyBorder="0" applyAlignment="0" applyProtection="0"/>
    <xf numFmtId="0" fontId="46" fillId="75" borderId="0" applyNumberFormat="0" applyBorder="0" applyAlignment="0" applyProtection="0"/>
    <xf numFmtId="0" fontId="46" fillId="75" borderId="0" applyNumberFormat="0" applyBorder="0" applyAlignment="0" applyProtection="0"/>
    <xf numFmtId="0" fontId="46" fillId="75" borderId="0" applyNumberFormat="0" applyBorder="0" applyAlignment="0" applyProtection="0"/>
    <xf numFmtId="0" fontId="45" fillId="76" borderId="0" applyNumberFormat="0" applyBorder="0" applyAlignment="0" applyProtection="0"/>
    <xf numFmtId="0" fontId="45" fillId="76" borderId="0" applyNumberFormat="0" applyBorder="0" applyAlignment="0" applyProtection="0"/>
    <xf numFmtId="0" fontId="45" fillId="76" borderId="0" applyNumberFormat="0" applyBorder="0" applyAlignment="0" applyProtection="0"/>
    <xf numFmtId="0" fontId="45" fillId="76" borderId="0" applyNumberFormat="0" applyBorder="0" applyAlignment="0" applyProtection="0"/>
    <xf numFmtId="0" fontId="46" fillId="75" borderId="0" applyNumberFormat="0" applyBorder="0" applyAlignment="0" applyProtection="0"/>
    <xf numFmtId="0" fontId="45" fillId="76" borderId="0" applyNumberFormat="0" applyBorder="0" applyAlignment="0" applyProtection="0"/>
    <xf numFmtId="0" fontId="45" fillId="76" borderId="0" applyNumberFormat="0" applyBorder="0" applyAlignment="0" applyProtection="0"/>
    <xf numFmtId="0" fontId="46" fillId="75" borderId="0" applyNumberFormat="0" applyBorder="0" applyAlignment="0" applyProtection="0"/>
    <xf numFmtId="0" fontId="45" fillId="76" borderId="0" applyNumberFormat="0" applyBorder="0" applyAlignment="0" applyProtection="0"/>
    <xf numFmtId="0" fontId="45" fillId="76" borderId="0" applyNumberFormat="0" applyBorder="0" applyAlignment="0" applyProtection="0"/>
    <xf numFmtId="0" fontId="46" fillId="75" borderId="0" applyNumberFormat="0" applyBorder="0" applyAlignment="0" applyProtection="0"/>
    <xf numFmtId="0" fontId="46" fillId="75" borderId="0" applyNumberFormat="0" applyBorder="0" applyAlignment="0" applyProtection="0"/>
    <xf numFmtId="0" fontId="46" fillId="75" borderId="0" applyNumberFormat="0" applyBorder="0" applyAlignment="0" applyProtection="0"/>
    <xf numFmtId="0" fontId="46" fillId="75" borderId="0" applyNumberFormat="0" applyBorder="0" applyAlignment="0" applyProtection="0"/>
    <xf numFmtId="186" fontId="19" fillId="0" borderId="0" applyFont="0" applyFill="0" applyBorder="0" applyAlignment="0" applyProtection="0"/>
    <xf numFmtId="0" fontId="19" fillId="58" borderId="0" applyBorder="0">
      <alignment horizontal="left"/>
      <protection locked="0"/>
    </xf>
    <xf numFmtId="0" fontId="48" fillId="77" borderId="0" applyNumberFormat="0" applyBorder="0">
      <alignment horizontal="centerContinuous"/>
      <protection locked="0"/>
    </xf>
    <xf numFmtId="187" fontId="32" fillId="78" borderId="0" applyBorder="0">
      <alignment horizontal="center"/>
      <protection locked="0"/>
    </xf>
    <xf numFmtId="187" fontId="32" fillId="78" borderId="0" applyBorder="0">
      <alignment horizontal="center"/>
      <protection locked="0"/>
    </xf>
    <xf numFmtId="3" fontId="32" fillId="79" borderId="0" applyBorder="0">
      <alignment horizontal="right"/>
      <protection locked="0"/>
    </xf>
    <xf numFmtId="3" fontId="32" fillId="79" borderId="0" applyBorder="0">
      <alignment horizontal="right"/>
      <protection locked="0"/>
    </xf>
    <xf numFmtId="0" fontId="49" fillId="79" borderId="0" applyNumberFormat="0" applyBorder="0">
      <alignment horizontal="centerContinuous"/>
      <protection locked="0"/>
    </xf>
    <xf numFmtId="186" fontId="32" fillId="80" borderId="0" applyBorder="0">
      <alignment horizontal="center"/>
      <protection locked="0"/>
    </xf>
    <xf numFmtId="186" fontId="32" fillId="80" borderId="0" applyBorder="0">
      <alignment horizontal="center"/>
      <protection locked="0"/>
    </xf>
    <xf numFmtId="187" fontId="19" fillId="77" borderId="1" applyNumberFormat="0" applyFont="0" applyFill="0" applyAlignment="0" applyProtection="0">
      <protection locked="0"/>
    </xf>
    <xf numFmtId="3" fontId="32" fillId="58" borderId="0" applyBorder="0">
      <alignment horizontal="right"/>
      <protection locked="0"/>
    </xf>
    <xf numFmtId="3" fontId="32" fillId="58" borderId="0" applyBorder="0">
      <alignment horizontal="right"/>
      <protection locked="0"/>
    </xf>
    <xf numFmtId="187" fontId="50" fillId="0" borderId="0" applyFont="0" applyFill="0" applyBorder="0" applyAlignment="0" applyProtection="0">
      <alignment horizontal="center"/>
      <protection locked="0"/>
    </xf>
    <xf numFmtId="187" fontId="50" fillId="0" borderId="0" applyFont="0" applyFill="0" applyBorder="0" applyAlignment="0">
      <alignment horizontal="center"/>
      <protection locked="0"/>
    </xf>
    <xf numFmtId="187" fontId="50" fillId="0" borderId="0" applyFont="0" applyFill="0" applyBorder="0" applyAlignment="0" applyProtection="0">
      <alignment horizontal="center"/>
      <protection locked="0"/>
    </xf>
    <xf numFmtId="3" fontId="32" fillId="79" borderId="0" applyBorder="0">
      <alignment horizontal="right"/>
      <protection locked="0"/>
    </xf>
    <xf numFmtId="3" fontId="32" fillId="79" borderId="0" applyBorder="0">
      <alignment horizontal="right"/>
      <protection locked="0"/>
    </xf>
    <xf numFmtId="0" fontId="45" fillId="71" borderId="0" applyNumberFormat="0" applyBorder="0" applyAlignment="0" applyProtection="0"/>
    <xf numFmtId="0" fontId="45" fillId="72" borderId="0" applyNumberFormat="0" applyBorder="0" applyAlignment="0" applyProtection="0"/>
    <xf numFmtId="0" fontId="45" fillId="73" borderId="0" applyNumberFormat="0" applyBorder="0" applyAlignment="0" applyProtection="0"/>
    <xf numFmtId="0" fontId="45" fillId="67" borderId="0" applyNumberFormat="0" applyBorder="0" applyAlignment="0" applyProtection="0"/>
    <xf numFmtId="0" fontId="45" fillId="68" borderId="0" applyNumberFormat="0" applyBorder="0" applyAlignment="0" applyProtection="0"/>
    <xf numFmtId="0" fontId="45" fillId="76" borderId="0" applyNumberFormat="0" applyBorder="0" applyAlignment="0" applyProtection="0"/>
    <xf numFmtId="0" fontId="47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47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76" borderId="0" applyNumberFormat="0" applyBorder="0" applyAlignment="0" applyProtection="0"/>
    <xf numFmtId="0" fontId="51" fillId="65" borderId="38" applyNumberFormat="0" applyAlignment="0" applyProtection="0"/>
    <xf numFmtId="0" fontId="52" fillId="0" borderId="0" applyNumberFormat="0" applyFill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53" fillId="53" borderId="0" applyNumberFormat="0" applyBorder="0" applyAlignment="0" applyProtection="0"/>
    <xf numFmtId="0" fontId="53" fillId="53" borderId="0" applyNumberFormat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8" fillId="52" borderId="0" applyNumberFormat="0" applyBorder="0" applyAlignment="0" applyProtection="0"/>
    <xf numFmtId="0" fontId="54" fillId="65" borderId="39" applyNumberFormat="0" applyAlignment="0" applyProtection="0"/>
    <xf numFmtId="188" fontId="19" fillId="0" borderId="0" applyNumberFormat="0" applyFill="0" applyBorder="0" applyAlignment="0"/>
    <xf numFmtId="188" fontId="19" fillId="0" borderId="0" applyNumberFormat="0" applyFill="0" applyBorder="0" applyAlignment="0"/>
    <xf numFmtId="188" fontId="19" fillId="0" borderId="0" applyNumberFormat="0" applyFill="0" applyBorder="0" applyAlignment="0"/>
    <xf numFmtId="0" fontId="54" fillId="65" borderId="39" applyNumberFormat="0" applyAlignment="0" applyProtection="0"/>
    <xf numFmtId="0" fontId="54" fillId="65" borderId="39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54" fillId="65" borderId="39" applyNumberFormat="0" applyAlignment="0" applyProtection="0"/>
    <xf numFmtId="0" fontId="54" fillId="65" borderId="39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11" fillId="58" borderId="11" applyNumberFormat="0" applyAlignment="0" applyProtection="0"/>
    <xf numFmtId="0" fontId="55" fillId="0" borderId="40" applyNumberFormat="0" applyFill="0" applyAlignment="0" applyProtection="0"/>
    <xf numFmtId="0" fontId="56" fillId="70" borderId="41" applyNumberFormat="0" applyAlignment="0" applyProtection="0"/>
    <xf numFmtId="0" fontId="55" fillId="0" borderId="40" applyNumberFormat="0" applyFill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56" fillId="70" borderId="41" applyNumberFormat="0" applyAlignment="0" applyProtection="0"/>
    <xf numFmtId="0" fontId="56" fillId="70" borderId="41" applyNumberFormat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57" fillId="9" borderId="42" applyNumberFormat="0" applyAlignment="0" applyProtection="0"/>
    <xf numFmtId="0" fontId="45" fillId="71" borderId="0" applyNumberFormat="0" applyBorder="0" applyAlignment="0" applyProtection="0"/>
    <xf numFmtId="0" fontId="45" fillId="72" borderId="0" applyNumberFormat="0" applyBorder="0" applyAlignment="0" applyProtection="0"/>
    <xf numFmtId="0" fontId="45" fillId="73" borderId="0" applyNumberFormat="0" applyBorder="0" applyAlignment="0" applyProtection="0"/>
    <xf numFmtId="0" fontId="45" fillId="67" borderId="0" applyNumberFormat="0" applyBorder="0" applyAlignment="0" applyProtection="0"/>
    <xf numFmtId="0" fontId="45" fillId="68" borderId="0" applyNumberFormat="0" applyBorder="0" applyAlignment="0" applyProtection="0"/>
    <xf numFmtId="0" fontId="45" fillId="76" borderId="0" applyNumberFormat="0" applyBorder="0" applyAlignment="0" applyProtection="0"/>
    <xf numFmtId="43" fontId="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77" fontId="44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58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43" fillId="0" borderId="0" applyFont="0" applyFill="0" applyBorder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3" fontId="59" fillId="0" borderId="6" applyBorder="0">
      <alignment vertical="center"/>
      <protection locked="0"/>
    </xf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1" fontId="60" fillId="0" borderId="0" applyFont="0" applyFill="0" applyBorder="0" applyAlignment="0" applyProtection="0">
      <protection locked="0"/>
    </xf>
    <xf numFmtId="39" fontId="61" fillId="0" borderId="0" applyFont="0" applyFill="0" applyBorder="0" applyAlignment="0" applyProtection="0"/>
    <xf numFmtId="192" fontId="19" fillId="0" borderId="0" applyFont="0" applyFill="0" applyBorder="0" applyAlignment="0"/>
    <xf numFmtId="192" fontId="19" fillId="0" borderId="0" applyFont="0" applyFill="0" applyBorder="0" applyAlignment="0"/>
    <xf numFmtId="192" fontId="19" fillId="0" borderId="0" applyFont="0" applyFill="0" applyBorder="0" applyAlignment="0"/>
    <xf numFmtId="0" fontId="62" fillId="0" borderId="0"/>
    <xf numFmtId="193" fontId="20" fillId="0" borderId="0" applyFont="0" applyFill="0" applyBorder="0" applyAlignment="0" applyProtection="0"/>
    <xf numFmtId="194" fontId="20" fillId="0" borderId="0" applyFont="0" applyFill="0" applyBorder="0" applyAlignment="0" applyProtection="0"/>
    <xf numFmtId="0" fontId="62" fillId="0" borderId="44"/>
    <xf numFmtId="0" fontId="62" fillId="0" borderId="44"/>
    <xf numFmtId="0" fontId="63" fillId="57" borderId="39" applyNumberFormat="0" applyAlignment="0" applyProtection="0"/>
    <xf numFmtId="0" fontId="19" fillId="46" borderId="6" applyBorder="0"/>
    <xf numFmtId="0" fontId="19" fillId="46" borderId="6" applyBorder="0"/>
    <xf numFmtId="0" fontId="19" fillId="46" borderId="6" applyBorder="0"/>
    <xf numFmtId="0" fontId="64" fillId="82" borderId="0"/>
    <xf numFmtId="0" fontId="63" fillId="57" borderId="39" applyNumberFormat="0" applyAlignment="0" applyProtection="0"/>
    <xf numFmtId="0" fontId="65" fillId="0" borderId="45" applyNumberFormat="0" applyFill="0" applyAlignment="0" applyProtection="0"/>
    <xf numFmtId="0" fontId="66" fillId="0" borderId="0" applyNumberForma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6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6" fontId="19" fillId="0" borderId="0" applyFont="0" applyFill="0" applyBorder="0" applyAlignment="0" applyProtection="0"/>
    <xf numFmtId="196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195" fontId="19" fillId="0" borderId="0" applyFont="0" applyFill="0" applyBorder="0" applyAlignment="0" applyProtection="0"/>
    <xf numFmtId="3" fontId="67" fillId="78" borderId="0" applyBorder="0">
      <alignment horizontal="center"/>
      <protection locked="0"/>
    </xf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68" fillId="0" borderId="46"/>
    <xf numFmtId="0" fontId="68" fillId="0" borderId="44"/>
    <xf numFmtId="0" fontId="68" fillId="83" borderId="44"/>
    <xf numFmtId="197" fontId="69" fillId="0" borderId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0" fillId="54" borderId="0" applyNumberFormat="0" applyBorder="0" applyAlignment="0" applyProtection="0"/>
    <xf numFmtId="0" fontId="70" fillId="54" borderId="0" applyNumberFormat="0" applyBorder="0" applyAlignment="0" applyProtection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" fillId="55" borderId="0" applyNumberFormat="0" applyBorder="0" applyAlignment="0" applyProtection="0"/>
    <xf numFmtId="0" fontId="71" fillId="84" borderId="47" applyFont="0" applyBorder="0" applyAlignment="0"/>
    <xf numFmtId="0" fontId="72" fillId="54" borderId="0" applyNumberFormat="0" applyBorder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4" fillId="0" borderId="49" applyNumberFormat="0" applyFill="0" applyAlignment="0" applyProtection="0"/>
    <xf numFmtId="0" fontId="74" fillId="0" borderId="49" applyNumberFormat="0" applyFill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3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6" fillId="0" borderId="50" applyNumberFormat="0" applyFill="0" applyAlignment="0" applyProtection="0"/>
    <xf numFmtId="0" fontId="76" fillId="0" borderId="50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5" fillId="0" borderId="48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8" fillId="0" borderId="52" applyNumberFormat="0" applyFill="0" applyAlignment="0" applyProtection="0"/>
    <xf numFmtId="0" fontId="78" fillId="0" borderId="52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43" fillId="81" borderId="43" applyNumberFormat="0" applyFont="0" applyAlignment="0" applyProtection="0"/>
    <xf numFmtId="0" fontId="43" fillId="81" borderId="43" applyNumberFormat="0" applyFont="0" applyAlignment="0" applyProtection="0"/>
    <xf numFmtId="0" fontId="53" fillId="53" borderId="0" applyNumberFormat="0" applyBorder="0" applyAlignment="0" applyProtection="0"/>
    <xf numFmtId="0" fontId="79" fillId="0" borderId="0" applyNumberFormat="0" applyFill="0" applyBorder="0" applyAlignment="0" applyProtection="0">
      <alignment vertical="top"/>
      <protection locked="0"/>
    </xf>
    <xf numFmtId="0" fontId="70" fillId="54" borderId="0" applyNumberFormat="0" applyBorder="0" applyAlignment="0" applyProtection="0"/>
    <xf numFmtId="166" fontId="80" fillId="0" borderId="53" applyFill="0" applyBorder="0" applyAlignment="0">
      <alignment horizontal="center"/>
      <protection locked="0"/>
    </xf>
    <xf numFmtId="191" fontId="60" fillId="0" borderId="0" applyFill="0" applyBorder="0" applyAlignment="0">
      <protection locked="0"/>
    </xf>
    <xf numFmtId="0" fontId="9" fillId="62" borderId="11" applyNumberFormat="0" applyAlignment="0" applyProtection="0"/>
    <xf numFmtId="0" fontId="9" fillId="62" borderId="11" applyNumberFormat="0" applyAlignment="0" applyProtection="0"/>
    <xf numFmtId="0" fontId="9" fillId="62" borderId="11" applyNumberFormat="0" applyAlignment="0" applyProtection="0"/>
    <xf numFmtId="0" fontId="9" fillId="62" borderId="11" applyNumberFormat="0" applyAlignment="0" applyProtection="0"/>
    <xf numFmtId="0" fontId="9" fillId="62" borderId="11" applyNumberFormat="0" applyAlignment="0" applyProtection="0"/>
    <xf numFmtId="0" fontId="9" fillId="62" borderId="11" applyNumberFormat="0" applyAlignment="0" applyProtection="0"/>
    <xf numFmtId="0" fontId="9" fillId="62" borderId="11" applyNumberFormat="0" applyAlignment="0" applyProtection="0"/>
    <xf numFmtId="0" fontId="9" fillId="62" borderId="11" applyNumberFormat="0" applyAlignment="0" applyProtection="0"/>
    <xf numFmtId="0" fontId="9" fillId="62" borderId="11" applyNumberFormat="0" applyAlignment="0" applyProtection="0"/>
    <xf numFmtId="0" fontId="63" fillId="57" borderId="39" applyNumberFormat="0" applyAlignment="0" applyProtection="0"/>
    <xf numFmtId="192" fontId="19" fillId="0" borderId="0" applyFill="0" applyBorder="0" applyAlignment="0" applyProtection="0">
      <protection locked="0"/>
    </xf>
    <xf numFmtId="0" fontId="63" fillId="57" borderId="39" applyNumberFormat="0" applyAlignment="0" applyProtection="0"/>
    <xf numFmtId="192" fontId="19" fillId="0" borderId="0" applyFill="0" applyBorder="0" applyAlignment="0" applyProtection="0">
      <protection locked="0"/>
    </xf>
    <xf numFmtId="0" fontId="63" fillId="57" borderId="39" applyNumberFormat="0" applyAlignment="0" applyProtection="0"/>
    <xf numFmtId="192" fontId="19" fillId="0" borderId="0" applyFill="0" applyBorder="0" applyAlignment="0" applyProtection="0">
      <protection locked="0"/>
    </xf>
    <xf numFmtId="192" fontId="19" fillId="0" borderId="0" applyFill="0" applyBorder="0" applyAlignment="0" applyProtection="0">
      <protection locked="0"/>
    </xf>
    <xf numFmtId="0" fontId="63" fillId="57" borderId="39" applyNumberFormat="0" applyAlignment="0" applyProtection="0"/>
    <xf numFmtId="192" fontId="19" fillId="0" borderId="0" applyFill="0" applyBorder="0" applyAlignment="0" applyProtection="0">
      <protection locked="0"/>
    </xf>
    <xf numFmtId="192" fontId="19" fillId="0" borderId="0" applyFill="0" applyBorder="0" applyAlignment="0" applyProtection="0">
      <protection locked="0"/>
    </xf>
    <xf numFmtId="0" fontId="9" fillId="62" borderId="11" applyNumberFormat="0" applyAlignment="0" applyProtection="0"/>
    <xf numFmtId="0" fontId="9" fillId="62" borderId="11" applyNumberFormat="0" applyAlignment="0" applyProtection="0"/>
    <xf numFmtId="0" fontId="9" fillId="62" borderId="11" applyNumberFormat="0" applyAlignment="0" applyProtection="0"/>
    <xf numFmtId="0" fontId="9" fillId="62" borderId="11" applyNumberFormat="0" applyAlignment="0" applyProtection="0"/>
    <xf numFmtId="0" fontId="9" fillId="62" borderId="11" applyNumberFormat="0" applyAlignment="0" applyProtection="0"/>
    <xf numFmtId="0" fontId="9" fillId="62" borderId="11" applyNumberFormat="0" applyAlignment="0" applyProtection="0"/>
    <xf numFmtId="0" fontId="53" fillId="53" borderId="0" applyNumberFormat="0" applyBorder="0" applyAlignment="0" applyProtection="0"/>
    <xf numFmtId="0" fontId="54" fillId="65" borderId="39" applyNumberFormat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12" fillId="0" borderId="13" applyNumberFormat="0" applyFill="0" applyAlignment="0" applyProtection="0"/>
    <xf numFmtId="0" fontId="55" fillId="0" borderId="40" applyNumberFormat="0" applyFill="0" applyAlignment="0" applyProtection="0"/>
    <xf numFmtId="0" fontId="40" fillId="0" borderId="54" applyNumberFormat="0" applyBorder="0"/>
    <xf numFmtId="198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99" fontId="19" fillId="0" borderId="0" applyFont="0" applyFill="0" applyBorder="0" applyAlignment="0" applyProtection="0"/>
    <xf numFmtId="200" fontId="19" fillId="0" borderId="0" applyFont="0" applyFill="0" applyBorder="0" applyAlignment="0" applyProtection="0"/>
    <xf numFmtId="201" fontId="19" fillId="0" borderId="0" applyFont="0" applyFill="0" applyBorder="0" applyAlignment="0" applyProtection="0"/>
    <xf numFmtId="201" fontId="19" fillId="0" borderId="0" applyFont="0" applyFill="0" applyBorder="0" applyAlignment="0" applyProtection="0"/>
    <xf numFmtId="201" fontId="19" fillId="0" borderId="0" applyFont="0" applyFill="0" applyBorder="0" applyAlignment="0" applyProtection="0"/>
    <xf numFmtId="0" fontId="81" fillId="75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81" fillId="75" borderId="0" applyNumberFormat="0" applyBorder="0" applyAlignment="0" applyProtection="0"/>
    <xf numFmtId="0" fontId="81" fillId="75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18" fillId="81" borderId="0" applyNumberFormat="0" applyBorder="0" applyAlignment="0" applyProtection="0"/>
    <xf numFmtId="0" fontId="81" fillId="75" borderId="0" applyNumberFormat="0" applyBorder="0" applyAlignment="0" applyProtection="0"/>
    <xf numFmtId="0" fontId="81" fillId="75" borderId="0" applyNumberFormat="0" applyBorder="0" applyAlignment="0" applyProtection="0"/>
    <xf numFmtId="202" fontId="82" fillId="0" borderId="5" applyBorder="0">
      <alignment horizontal="center" vertical="center" wrapText="1"/>
    </xf>
    <xf numFmtId="202" fontId="82" fillId="0" borderId="5" applyBorder="0">
      <alignment horizontal="center" vertical="center"/>
    </xf>
    <xf numFmtId="203" fontId="19" fillId="0" borderId="0"/>
    <xf numFmtId="0" fontId="83" fillId="0" borderId="0"/>
    <xf numFmtId="0" fontId="43" fillId="0" borderId="0"/>
    <xf numFmtId="0" fontId="1" fillId="0" borderId="0"/>
    <xf numFmtId="0" fontId="43" fillId="0" borderId="0"/>
    <xf numFmtId="188" fontId="19" fillId="0" borderId="0" applyFill="0" applyBorder="0" applyAlignment="0"/>
    <xf numFmtId="0" fontId="19" fillId="0" borderId="0"/>
    <xf numFmtId="0" fontId="19" fillId="0" borderId="0"/>
    <xf numFmtId="188" fontId="19" fillId="0" borderId="0" applyFill="0" applyBorder="0" applyAlignment="0"/>
    <xf numFmtId="0" fontId="19" fillId="0" borderId="0"/>
    <xf numFmtId="188" fontId="19" fillId="0" borderId="0" applyFill="0" applyBorder="0" applyAlignment="0"/>
    <xf numFmtId="0" fontId="19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84" fillId="0" borderId="0"/>
    <xf numFmtId="0" fontId="84" fillId="0" borderId="0"/>
    <xf numFmtId="0" fontId="1" fillId="0" borderId="0"/>
    <xf numFmtId="0" fontId="33" fillId="0" borderId="0">
      <protection locked="0"/>
    </xf>
    <xf numFmtId="0" fontId="33" fillId="0" borderId="0">
      <protection locked="0"/>
    </xf>
    <xf numFmtId="0" fontId="1" fillId="0" borderId="0"/>
    <xf numFmtId="0" fontId="1" fillId="0" borderId="0"/>
    <xf numFmtId="0" fontId="33" fillId="0" borderId="0">
      <protection locked="0"/>
    </xf>
    <xf numFmtId="0" fontId="1" fillId="0" borderId="0"/>
    <xf numFmtId="0" fontId="33" fillId="0" borderId="0">
      <protection locked="0"/>
    </xf>
    <xf numFmtId="0" fontId="33" fillId="0" borderId="0">
      <protection locked="0"/>
    </xf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84" fillId="0" borderId="0"/>
    <xf numFmtId="0" fontId="8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38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0" borderId="0">
      <protection locked="0"/>
    </xf>
    <xf numFmtId="0" fontId="19" fillId="0" borderId="0"/>
    <xf numFmtId="0" fontId="1" fillId="0" borderId="0"/>
    <xf numFmtId="0" fontId="1" fillId="0" borderId="0"/>
    <xf numFmtId="0" fontId="1" fillId="0" borderId="0"/>
    <xf numFmtId="0" fontId="33" fillId="0" borderId="0">
      <protection locked="0"/>
    </xf>
    <xf numFmtId="0" fontId="19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0" borderId="0">
      <protection locked="0"/>
    </xf>
    <xf numFmtId="0" fontId="33" fillId="0" borderId="0">
      <protection locked="0"/>
    </xf>
    <xf numFmtId="0" fontId="33" fillId="0" borderId="0">
      <protection locked="0"/>
    </xf>
    <xf numFmtId="0" fontId="33" fillId="0" borderId="0">
      <protection locked="0"/>
    </xf>
    <xf numFmtId="0" fontId="19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33" fillId="0" borderId="0">
      <protection locked="0"/>
    </xf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" fillId="0" borderId="0"/>
    <xf numFmtId="0" fontId="84" fillId="0" borderId="0"/>
    <xf numFmtId="0" fontId="84" fillId="0" borderId="0"/>
    <xf numFmtId="0" fontId="1" fillId="0" borderId="0"/>
    <xf numFmtId="0" fontId="19" fillId="0" borderId="0"/>
    <xf numFmtId="0" fontId="1" fillId="0" borderId="0"/>
    <xf numFmtId="0" fontId="43" fillId="0" borderId="0"/>
    <xf numFmtId="0" fontId="19" fillId="0" borderId="0"/>
    <xf numFmtId="0" fontId="19" fillId="0" borderId="0"/>
    <xf numFmtId="0" fontId="43" fillId="0" borderId="0"/>
    <xf numFmtId="0" fontId="43" fillId="0" borderId="0"/>
    <xf numFmtId="0" fontId="43" fillId="0" borderId="0"/>
    <xf numFmtId="0" fontId="19" fillId="0" borderId="0"/>
    <xf numFmtId="0" fontId="1" fillId="0" borderId="0"/>
    <xf numFmtId="0" fontId="84" fillId="0" borderId="0"/>
    <xf numFmtId="0" fontId="19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19" fillId="0" borderId="0"/>
    <xf numFmtId="0" fontId="1" fillId="0" borderId="0"/>
    <xf numFmtId="0" fontId="43" fillId="0" borderId="0"/>
    <xf numFmtId="0" fontId="43" fillId="0" borderId="0"/>
    <xf numFmtId="0" fontId="19" fillId="81" borderId="43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19" fillId="81" borderId="43" applyNumberFormat="0" applyFont="0" applyAlignment="0" applyProtection="0"/>
    <xf numFmtId="0" fontId="85" fillId="0" borderId="0" applyNumberFormat="0" applyFill="0" applyBorder="0" applyAlignment="0" applyProtection="0"/>
    <xf numFmtId="0" fontId="74" fillId="0" borderId="49" applyNumberFormat="0" applyFill="0" applyAlignment="0" applyProtection="0"/>
    <xf numFmtId="0" fontId="76" fillId="0" borderId="50" applyNumberFormat="0" applyFill="0" applyAlignment="0" applyProtection="0"/>
    <xf numFmtId="0" fontId="78" fillId="0" borderId="52" applyNumberFormat="0" applyFill="0" applyAlignment="0" applyProtection="0"/>
    <xf numFmtId="0" fontId="78" fillId="0" borderId="0" applyNumberFormat="0" applyFill="0" applyBorder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51" fillId="65" borderId="38" applyNumberFormat="0" applyAlignment="0" applyProtection="0"/>
    <xf numFmtId="0" fontId="51" fillId="65" borderId="38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204" fontId="19" fillId="0" borderId="26" applyFont="0" applyFill="0" applyBorder="0" applyAlignment="0" applyProtection="0">
      <alignment horizontal="right"/>
    </xf>
    <xf numFmtId="204" fontId="19" fillId="0" borderId="26" applyFont="0" applyFill="0" applyBorder="0" applyAlignment="0" applyProtection="0">
      <alignment horizontal="right"/>
    </xf>
    <xf numFmtId="204" fontId="19" fillId="0" borderId="26" applyFont="0" applyFill="0" applyBorder="0" applyAlignment="0" applyProtection="0">
      <alignment horizontal="right"/>
    </xf>
    <xf numFmtId="205" fontId="19" fillId="0" borderId="0" applyFont="0" applyFill="0" applyBorder="0" applyAlignment="0" applyProtection="0"/>
    <xf numFmtId="205" fontId="19" fillId="0" borderId="0" applyFont="0" applyFill="0" applyBorder="0" applyAlignment="0" applyProtection="0"/>
    <xf numFmtId="205" fontId="19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43" fillId="0" borderId="0" applyFont="0" applyFill="0" applyBorder="0" applyAlignment="0" applyProtection="0"/>
    <xf numFmtId="206" fontId="19" fillId="0" borderId="0" applyFont="0" applyFill="0" applyBorder="0" applyAlignment="0" applyProtection="0"/>
    <xf numFmtId="206" fontId="19" fillId="0" borderId="0" applyFont="0" applyFill="0" applyBorder="0" applyAlignment="0" applyProtection="0"/>
    <xf numFmtId="206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43" fillId="0" borderId="0" applyFont="0" applyFill="0" applyBorder="0" applyAlignment="0" applyProtection="0"/>
    <xf numFmtId="206" fontId="19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06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206" fontId="19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59" fillId="0" borderId="1">
      <alignment vertical="center"/>
    </xf>
    <xf numFmtId="9" fontId="19" fillId="0" borderId="0" applyFont="0" applyFill="0" applyBorder="0" applyAlignment="0" applyProtection="0"/>
    <xf numFmtId="0" fontId="87" fillId="85" borderId="32"/>
    <xf numFmtId="0" fontId="30" fillId="50" borderId="0" applyNumberFormat="0" applyBorder="0">
      <alignment horizontal="right"/>
      <protection locked="0"/>
    </xf>
    <xf numFmtId="0" fontId="19" fillId="46" borderId="0" applyNumberFormat="0" applyFont="0" applyBorder="0" applyAlignment="0"/>
    <xf numFmtId="0" fontId="19" fillId="86" borderId="0" applyNumberFormat="0" applyBorder="0">
      <alignment horizontal="center" vertical="center" wrapText="1"/>
    </xf>
    <xf numFmtId="173" fontId="30" fillId="87" borderId="1" applyNumberFormat="0" applyBorder="0" applyAlignment="0">
      <alignment horizontal="right"/>
      <protection locked="0"/>
    </xf>
    <xf numFmtId="0" fontId="19" fillId="88" borderId="0" applyNumberFormat="0" applyFont="0" applyBorder="0" applyAlignment="0"/>
    <xf numFmtId="0" fontId="88" fillId="0" borderId="6" applyFill="0" applyBorder="0">
      <alignment horizontal="center" vertical="center"/>
    </xf>
    <xf numFmtId="10" fontId="89" fillId="0" borderId="47" applyNumberFormat="0" applyBorder="0" applyAlignment="0"/>
    <xf numFmtId="0" fontId="19" fillId="48" borderId="1">
      <alignment horizontal="center" wrapText="1"/>
    </xf>
    <xf numFmtId="0" fontId="19" fillId="48" borderId="1">
      <alignment horizontal="left"/>
    </xf>
    <xf numFmtId="3" fontId="19" fillId="87" borderId="1">
      <alignment horizontal="right"/>
      <protection locked="0"/>
    </xf>
    <xf numFmtId="166" fontId="19" fillId="87" borderId="1">
      <alignment horizontal="right"/>
      <protection locked="0"/>
    </xf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19" fillId="0" borderId="0" applyNumberFormat="0" applyFont="0" applyBorder="0" applyAlignment="0"/>
    <xf numFmtId="0" fontId="30" fillId="50" borderId="0" applyNumberFormat="0" applyBorder="0">
      <alignment horizontal="right"/>
      <protection locked="0"/>
    </xf>
    <xf numFmtId="3" fontId="90" fillId="89" borderId="1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19" fillId="46" borderId="0" applyBorder="0"/>
    <xf numFmtId="0" fontId="33" fillId="90" borderId="0" applyNumberFormat="0" applyFont="0" applyBorder="0" applyAlignment="0" applyProtection="0">
      <protection locked="0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0" fontId="19" fillId="48" borderId="1" applyNumberFormat="0" applyFont="0" applyBorder="0" applyAlignment="0">
      <alignment horizontal="center" wrapText="1"/>
    </xf>
    <xf numFmtId="3" fontId="30" fillId="86" borderId="6" applyNumberFormat="0" applyBorder="0" applyAlignment="0">
      <alignment vertical="center"/>
      <protection locked="0"/>
    </xf>
    <xf numFmtId="3" fontId="30" fillId="87" borderId="6" applyNumberFormat="0" applyBorder="0" applyAlignment="0">
      <alignment vertical="center"/>
      <protection locked="0"/>
    </xf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19" fillId="48" borderId="0" applyNumberFormat="0" applyFont="0" applyFill="0" applyBorder="0" applyAlignment="0"/>
    <xf numFmtId="0" fontId="33" fillId="88" borderId="0" applyNumberFormat="0" applyFont="0" applyBorder="0" applyAlignment="0"/>
    <xf numFmtId="3" fontId="91" fillId="91" borderId="1" applyNumberFormat="0" applyBorder="0">
      <alignment horizontal="right" vertical="center" wrapText="1" indent="1"/>
    </xf>
    <xf numFmtId="0" fontId="89" fillId="0" borderId="0" applyNumberFormat="0" applyBorder="0" applyAlignment="0"/>
    <xf numFmtId="0" fontId="20" fillId="89" borderId="57" applyNumberFormat="0" applyFont="0" applyBorder="0" applyAlignment="0"/>
    <xf numFmtId="0" fontId="20" fillId="92" borderId="57" applyNumberFormat="0" applyFont="0" applyBorder="0" applyAlignment="0"/>
    <xf numFmtId="0" fontId="92" fillId="0" borderId="0" applyFill="0" applyBorder="0">
      <alignment horizontal="center" vertical="center"/>
    </xf>
    <xf numFmtId="0" fontId="1" fillId="47" borderId="0">
      <alignment vertical="top"/>
    </xf>
    <xf numFmtId="0" fontId="93" fillId="0" borderId="0"/>
    <xf numFmtId="0" fontId="94" fillId="0" borderId="0"/>
    <xf numFmtId="0" fontId="62" fillId="0" borderId="0"/>
    <xf numFmtId="0" fontId="36" fillId="93" borderId="1" applyNumberFormat="0" applyBorder="0" applyAlignment="0">
      <alignment horizontal="center" wrapText="1"/>
    </xf>
    <xf numFmtId="0" fontId="70" fillId="54" borderId="0" applyNumberFormat="0" applyBorder="0" applyAlignment="0" applyProtection="0"/>
    <xf numFmtId="0" fontId="95" fillId="53" borderId="0" applyNumberFormat="0" applyBorder="0" applyAlignment="0" applyProtection="0"/>
    <xf numFmtId="0" fontId="66" fillId="0" borderId="0" applyNumberFormat="0" applyFill="0" applyBorder="0" applyAlignment="0" applyProtection="0"/>
    <xf numFmtId="0" fontId="51" fillId="65" borderId="38" applyNumberFormat="0" applyAlignment="0" applyProtection="0"/>
    <xf numFmtId="0" fontId="20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38" fontId="96" fillId="0" borderId="0" applyFill="0" applyBorder="0" applyAlignment="0" applyProtection="0"/>
    <xf numFmtId="205" fontId="19" fillId="0" borderId="0" applyFill="0" applyBorder="0" applyAlignment="0" applyProtection="0"/>
    <xf numFmtId="205" fontId="19" fillId="0" borderId="0" applyFill="0" applyBorder="0" applyAlignment="0" applyProtection="0"/>
    <xf numFmtId="205" fontId="19" fillId="0" borderId="0" applyFill="0" applyBorder="0" applyAlignment="0" applyProtection="0"/>
    <xf numFmtId="0" fontId="65" fillId="0" borderId="45" applyNumberFormat="0" applyFill="0" applyAlignment="0" applyProtection="0"/>
    <xf numFmtId="0" fontId="63" fillId="57" borderId="39" applyNumberFormat="0" applyAlignment="0" applyProtection="0"/>
    <xf numFmtId="0" fontId="56" fillId="70" borderId="41" applyNumberFormat="0" applyAlignment="0" applyProtection="0"/>
    <xf numFmtId="0" fontId="52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207" fontId="60" fillId="0" borderId="0" applyFont="0" applyFill="0" applyBorder="0" applyAlignment="0" applyProtection="0">
      <alignment horizontal="left"/>
    </xf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74" fillId="0" borderId="49" applyNumberFormat="0" applyFill="0" applyAlignment="0" applyProtection="0"/>
    <xf numFmtId="0" fontId="76" fillId="0" borderId="50" applyNumberFormat="0" applyFill="0" applyAlignment="0" applyProtection="0"/>
    <xf numFmtId="0" fontId="78" fillId="0" borderId="52" applyNumberFormat="0" applyFill="0" applyAlignment="0" applyProtection="0"/>
    <xf numFmtId="0" fontId="78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74" fillId="0" borderId="49" applyNumberFormat="0" applyFill="0" applyAlignment="0" applyProtection="0"/>
    <xf numFmtId="0" fontId="76" fillId="0" borderId="50" applyNumberFormat="0" applyFill="0" applyAlignment="0" applyProtection="0"/>
    <xf numFmtId="0" fontId="78" fillId="0" borderId="52" applyNumberFormat="0" applyFill="0" applyAlignment="0" applyProtection="0"/>
    <xf numFmtId="0" fontId="78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2" fillId="0" borderId="58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2" fillId="0" borderId="58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65" fillId="0" borderId="45" applyNumberFormat="0" applyFill="0" applyAlignment="0" applyProtection="0"/>
    <xf numFmtId="3" fontId="98" fillId="77" borderId="0" applyBorder="0">
      <alignment horizontal="center"/>
      <protection locked="0"/>
    </xf>
    <xf numFmtId="0" fontId="51" fillId="65" borderId="38" applyNumberFormat="0" applyAlignment="0" applyProtection="0"/>
    <xf numFmtId="0" fontId="85" fillId="0" borderId="0" applyNumberFormat="0" applyFill="0" applyBorder="0" applyAlignment="0" applyProtection="0"/>
    <xf numFmtId="0" fontId="99" fillId="0" borderId="49" applyNumberFormat="0" applyFill="0" applyAlignment="0" applyProtection="0"/>
    <xf numFmtId="0" fontId="100" fillId="0" borderId="50" applyNumberFormat="0" applyFill="0" applyAlignment="0" applyProtection="0"/>
    <xf numFmtId="0" fontId="101" fillId="0" borderId="52" applyNumberFormat="0" applyFill="0" applyAlignment="0" applyProtection="0"/>
    <xf numFmtId="0" fontId="101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37" fontId="102" fillId="0" borderId="0">
      <alignment horizontal="right"/>
    </xf>
    <xf numFmtId="10" fontId="103" fillId="0" borderId="59" applyNumberFormat="0" applyFont="0" applyFill="0" applyAlignment="0" applyProtection="0"/>
    <xf numFmtId="0" fontId="53" fillId="53" borderId="0" applyNumberFormat="0" applyBorder="0" applyAlignment="0" applyProtection="0"/>
    <xf numFmtId="0" fontId="70" fillId="54" borderId="0" applyNumberFormat="0" applyBorder="0" applyAlignment="0" applyProtection="0"/>
    <xf numFmtId="0" fontId="52" fillId="0" borderId="0" applyNumberFormat="0" applyFill="0" applyBorder="0" applyAlignment="0" applyProtection="0"/>
    <xf numFmtId="0" fontId="56" fillId="70" borderId="41" applyNumberFormat="0" applyAlignment="0" applyProtection="0"/>
    <xf numFmtId="0" fontId="104" fillId="0" borderId="40" applyNumberFormat="0" applyFill="0" applyAlignment="0" applyProtection="0"/>
    <xf numFmtId="208" fontId="20" fillId="0" borderId="0" applyFont="0" applyFill="0" applyBorder="0" applyAlignment="0" applyProtection="0"/>
    <xf numFmtId="209" fontId="20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210" fontId="19" fillId="0" borderId="35" applyFont="0" applyFill="0" applyBorder="0" applyAlignment="0" applyProtection="0"/>
    <xf numFmtId="210" fontId="19" fillId="0" borderId="35" applyFont="0" applyFill="0" applyBorder="0" applyAlignment="0" applyProtection="0"/>
    <xf numFmtId="210" fontId="19" fillId="0" borderId="35" applyFont="0" applyFill="0" applyBorder="0" applyAlignment="0" applyProtection="0"/>
    <xf numFmtId="0" fontId="105" fillId="70" borderId="41" applyNumberForma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20" fillId="89" borderId="57" applyNumberFormat="0" applyFont="0" applyBorder="0" applyAlignment="0"/>
    <xf numFmtId="0" fontId="87" fillId="85" borderId="60"/>
    <xf numFmtId="0" fontId="87" fillId="85" borderId="32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51" fillId="65" borderId="38" applyNumberFormat="0" applyAlignment="0" applyProtection="0"/>
    <xf numFmtId="0" fontId="51" fillId="65" borderId="38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19" fillId="81" borderId="43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19" fillId="81" borderId="43" applyNumberFormat="0" applyFont="0" applyAlignment="0" applyProtection="0"/>
    <xf numFmtId="202" fontId="82" fillId="0" borderId="5" applyBorder="0">
      <alignment horizontal="center" vertical="center"/>
    </xf>
    <xf numFmtId="202" fontId="82" fillId="0" borderId="5" applyBorder="0">
      <alignment horizontal="center" vertical="center" wrapText="1"/>
    </xf>
    <xf numFmtId="0" fontId="54" fillId="65" borderId="39" applyNumberFormat="0" applyAlignment="0" applyProtection="0"/>
    <xf numFmtId="0" fontId="63" fillId="57" borderId="39" applyNumberFormat="0" applyAlignment="0" applyProtection="0"/>
    <xf numFmtId="0" fontId="63" fillId="57" borderId="39" applyNumberFormat="0" applyAlignment="0" applyProtection="0"/>
    <xf numFmtId="0" fontId="63" fillId="57" borderId="39" applyNumberFormat="0" applyAlignment="0" applyProtection="0"/>
    <xf numFmtId="0" fontId="63" fillId="57" borderId="39" applyNumberFormat="0" applyAlignment="0" applyProtection="0"/>
    <xf numFmtId="0" fontId="43" fillId="81" borderId="43" applyNumberFormat="0" applyFont="0" applyAlignment="0" applyProtection="0"/>
    <xf numFmtId="0" fontId="43" fillId="81" borderId="43" applyNumberFormat="0" applyFont="0" applyAlignment="0" applyProtection="0"/>
    <xf numFmtId="0" fontId="68" fillId="83" borderId="44"/>
    <xf numFmtId="0" fontId="68" fillId="0" borderId="44"/>
    <xf numFmtId="0" fontId="51" fillId="65" borderId="38" applyNumberFormat="0" applyAlignment="0" applyProtection="0"/>
    <xf numFmtId="0" fontId="54" fillId="65" borderId="39" applyNumberFormat="0" applyAlignment="0" applyProtection="0"/>
    <xf numFmtId="0" fontId="54" fillId="65" borderId="39" applyNumberFormat="0" applyAlignment="0" applyProtection="0"/>
    <xf numFmtId="0" fontId="54" fillId="65" borderId="39" applyNumberFormat="0" applyAlignment="0" applyProtection="0"/>
    <xf numFmtId="0" fontId="54" fillId="65" borderId="39" applyNumberFormat="0" applyAlignment="0" applyProtection="0"/>
    <xf numFmtId="0" fontId="54" fillId="65" borderId="39" applyNumberFormat="0" applyAlignment="0" applyProtection="0"/>
    <xf numFmtId="0" fontId="65" fillId="0" borderId="45" applyNumberFormat="0" applyFill="0" applyAlignment="0" applyProtection="0"/>
    <xf numFmtId="0" fontId="63" fillId="57" borderId="39" applyNumberFormat="0" applyAlignment="0" applyProtection="0"/>
    <xf numFmtId="0" fontId="63" fillId="57" borderId="39" applyNumberFormat="0" applyAlignment="0" applyProtection="0"/>
    <xf numFmtId="0" fontId="62" fillId="0" borderId="44"/>
    <xf numFmtId="0" fontId="62" fillId="0" borderId="44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62" fillId="0" borderId="44"/>
    <xf numFmtId="0" fontId="62" fillId="0" borderId="44"/>
    <xf numFmtId="0" fontId="63" fillId="57" borderId="39" applyNumberFormat="0" applyAlignment="0" applyProtection="0"/>
    <xf numFmtId="0" fontId="63" fillId="57" borderId="39" applyNumberFormat="0" applyAlignment="0" applyProtection="0"/>
    <xf numFmtId="0" fontId="65" fillId="0" borderId="45" applyNumberFormat="0" applyFill="0" applyAlignment="0" applyProtection="0"/>
    <xf numFmtId="0" fontId="54" fillId="65" borderId="39" applyNumberFormat="0" applyAlignment="0" applyProtection="0"/>
    <xf numFmtId="0" fontId="54" fillId="65" borderId="39" applyNumberFormat="0" applyAlignment="0" applyProtection="0"/>
    <xf numFmtId="0" fontId="54" fillId="65" borderId="39" applyNumberFormat="0" applyAlignment="0" applyProtection="0"/>
    <xf numFmtId="0" fontId="54" fillId="65" borderId="39" applyNumberFormat="0" applyAlignment="0" applyProtection="0"/>
    <xf numFmtId="0" fontId="68" fillId="0" borderId="44"/>
    <xf numFmtId="0" fontId="68" fillId="83" borderId="44"/>
    <xf numFmtId="0" fontId="54" fillId="65" borderId="39" applyNumberFormat="0" applyAlignment="0" applyProtection="0"/>
    <xf numFmtId="0" fontId="51" fillId="65" borderId="38" applyNumberFormat="0" applyAlignment="0" applyProtection="0"/>
    <xf numFmtId="0" fontId="43" fillId="81" borderId="43" applyNumberFormat="0" applyFont="0" applyAlignment="0" applyProtection="0"/>
    <xf numFmtId="0" fontId="43" fillId="81" borderId="43" applyNumberFormat="0" applyFont="0" applyAlignment="0" applyProtection="0"/>
    <xf numFmtId="0" fontId="63" fillId="57" borderId="39" applyNumberFormat="0" applyAlignment="0" applyProtection="0"/>
    <xf numFmtId="0" fontId="63" fillId="57" borderId="39" applyNumberFormat="0" applyAlignment="0" applyProtection="0"/>
    <xf numFmtId="0" fontId="63" fillId="57" borderId="39" applyNumberFormat="0" applyAlignment="0" applyProtection="0"/>
    <xf numFmtId="0" fontId="63" fillId="57" borderId="39" applyNumberFormat="0" applyAlignment="0" applyProtection="0"/>
    <xf numFmtId="0" fontId="54" fillId="65" borderId="39" applyNumberFormat="0" applyAlignment="0" applyProtection="0"/>
    <xf numFmtId="202" fontId="82" fillId="0" borderId="5" applyBorder="0">
      <alignment horizontal="center" vertical="center" wrapText="1"/>
    </xf>
    <xf numFmtId="202" fontId="82" fillId="0" borderId="5" applyBorder="0">
      <alignment horizontal="center" vertical="center"/>
    </xf>
    <xf numFmtId="202" fontId="82" fillId="0" borderId="5" applyBorder="0">
      <alignment horizontal="center" vertical="center" wrapText="1"/>
    </xf>
    <xf numFmtId="202" fontId="82" fillId="0" borderId="5" applyBorder="0">
      <alignment horizontal="center" vertical="center"/>
    </xf>
    <xf numFmtId="0" fontId="19" fillId="81" borderId="43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19" fillId="81" borderId="43" applyNumberFormat="0" applyFont="0" applyAlignment="0" applyProtection="0"/>
    <xf numFmtId="0" fontId="19" fillId="81" borderId="43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19" fillId="81" borderId="43" applyNumberFormat="0" applyFon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51" fillId="65" borderId="38" applyNumberFormat="0" applyAlignment="0" applyProtection="0"/>
    <xf numFmtId="0" fontId="51" fillId="65" borderId="38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43" fillId="10" borderId="55" applyNumberFormat="0" applyFont="0" applyAlignment="0" applyProtection="0"/>
    <xf numFmtId="0" fontId="87" fillId="85" borderId="32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86" fillId="58" borderId="56" applyNumberFormat="0" applyAlignment="0" applyProtection="0"/>
    <xf numFmtId="0" fontId="20" fillId="89" borderId="57" applyNumberFormat="0" applyFont="0" applyBorder="0" applyAlignment="0"/>
    <xf numFmtId="0" fontId="20" fillId="92" borderId="57" applyNumberFormat="0" applyFont="0" applyBorder="0" applyAlignment="0"/>
    <xf numFmtId="0" fontId="51" fillId="65" borderId="38" applyNumberFormat="0" applyAlignment="0" applyProtection="0"/>
    <xf numFmtId="0" fontId="65" fillId="0" borderId="45" applyNumberFormat="0" applyFill="0" applyAlignment="0" applyProtection="0"/>
    <xf numFmtId="0" fontId="63" fillId="57" borderId="39" applyNumberFormat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2" fillId="0" borderId="58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2" fillId="0" borderId="58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65" fillId="0" borderId="45" applyNumberFormat="0" applyFill="0" applyAlignment="0" applyProtection="0"/>
    <xf numFmtId="0" fontId="51" fillId="65" borderId="38" applyNumberFormat="0" applyAlignment="0" applyProtection="0"/>
    <xf numFmtId="0" fontId="20" fillId="89" borderId="57" applyNumberFormat="0" applyFont="0" applyBorder="0" applyAlignment="0"/>
    <xf numFmtId="210" fontId="19" fillId="0" borderId="35" applyFont="0" applyFill="0" applyBorder="0" applyAlignment="0" applyProtection="0"/>
    <xf numFmtId="210" fontId="19" fillId="0" borderId="35" applyFont="0" applyFill="0" applyBorder="0" applyAlignment="0" applyProtection="0"/>
    <xf numFmtId="210" fontId="19" fillId="0" borderId="35" applyFont="0" applyFill="0" applyBorder="0" applyAlignment="0" applyProtection="0"/>
    <xf numFmtId="0" fontId="20" fillId="92" borderId="57" applyNumberFormat="0" applyFont="0" applyBorder="0" applyAlignment="0"/>
    <xf numFmtId="0" fontId="51" fillId="65" borderId="38" applyNumberFormat="0" applyAlignment="0" applyProtection="0"/>
    <xf numFmtId="0" fontId="65" fillId="0" borderId="45" applyNumberFormat="0" applyFill="0" applyAlignment="0" applyProtection="0"/>
    <xf numFmtId="0" fontId="63" fillId="57" borderId="39" applyNumberFormat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2" fillId="0" borderId="58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2" fillId="0" borderId="58" applyNumberFormat="0" applyFill="0" applyAlignment="0" applyProtection="0"/>
    <xf numFmtId="0" fontId="65" fillId="0" borderId="45" applyNumberFormat="0" applyFill="0" applyAlignment="0" applyProtection="0"/>
    <xf numFmtId="0" fontId="65" fillId="0" borderId="45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65" fillId="0" borderId="45" applyNumberFormat="0" applyFill="0" applyAlignment="0" applyProtection="0"/>
    <xf numFmtId="0" fontId="51" fillId="65" borderId="38" applyNumberFormat="0" applyAlignment="0" applyProtection="0"/>
    <xf numFmtId="210" fontId="19" fillId="0" borderId="35" applyFont="0" applyFill="0" applyBorder="0" applyAlignment="0" applyProtection="0"/>
    <xf numFmtId="210" fontId="19" fillId="0" borderId="35" applyFont="0" applyFill="0" applyBorder="0" applyAlignment="0" applyProtection="0"/>
    <xf numFmtId="210" fontId="19" fillId="0" borderId="35" applyFont="0" applyFill="0" applyBorder="0" applyAlignment="0" applyProtection="0"/>
    <xf numFmtId="0" fontId="20" fillId="92" borderId="57" applyNumberFormat="0" applyFont="0" applyBorder="0" applyAlignment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0" fontId="2" fillId="0" borderId="58" applyNumberFormat="0" applyFill="0" applyAlignment="0" applyProtection="0"/>
    <xf numFmtId="210" fontId="19" fillId="0" borderId="35" applyFont="0" applyFill="0" applyBorder="0" applyAlignment="0" applyProtection="0"/>
    <xf numFmtId="210" fontId="19" fillId="0" borderId="35" applyFont="0" applyFill="0" applyBorder="0" applyAlignment="0" applyProtection="0"/>
    <xf numFmtId="210" fontId="19" fillId="0" borderId="35" applyFont="0" applyFill="0" applyBorder="0" applyAlignment="0" applyProtection="0"/>
  </cellStyleXfs>
  <cellXfs count="146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0" fillId="0" borderId="2" xfId="0" applyBorder="1"/>
    <xf numFmtId="0" fontId="0" fillId="0" borderId="3" xfId="0" applyBorder="1"/>
    <xf numFmtId="9" fontId="0" fillId="0" borderId="2" xfId="0" applyNumberFormat="1" applyBorder="1"/>
    <xf numFmtId="9" fontId="0" fillId="0" borderId="3" xfId="0" applyNumberFormat="1" applyBorder="1"/>
    <xf numFmtId="0" fontId="0" fillId="0" borderId="4" xfId="0" applyBorder="1"/>
    <xf numFmtId="9" fontId="0" fillId="0" borderId="4" xfId="0" applyNumberFormat="1" applyBorder="1"/>
    <xf numFmtId="10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165" fontId="0" fillId="0" borderId="2" xfId="1" applyNumberFormat="1" applyFont="1" applyBorder="1"/>
    <xf numFmtId="165" fontId="0" fillId="0" borderId="3" xfId="1" applyNumberFormat="1" applyFont="1" applyBorder="1"/>
    <xf numFmtId="0" fontId="3" fillId="0" borderId="0" xfId="0" applyFont="1"/>
    <xf numFmtId="0" fontId="2" fillId="2" borderId="0" xfId="0" applyFont="1" applyFill="1" applyAlignment="1">
      <alignment horizontal="center"/>
    </xf>
    <xf numFmtId="0" fontId="0" fillId="0" borderId="3" xfId="0" quotePrefix="1" applyBorder="1"/>
    <xf numFmtId="0" fontId="0" fillId="3" borderId="2" xfId="0" applyFill="1" applyBorder="1"/>
    <xf numFmtId="0" fontId="0" fillId="3" borderId="3" xfId="0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0" fontId="0" fillId="0" borderId="0" xfId="2" applyNumberFormat="1" applyFont="1"/>
    <xf numFmtId="43" fontId="0" fillId="0" borderId="0" xfId="0" applyNumberFormat="1"/>
    <xf numFmtId="0" fontId="0" fillId="0" borderId="17" xfId="0" applyBorder="1"/>
    <xf numFmtId="167" fontId="0" fillId="0" borderId="0" xfId="0" applyNumberFormat="1"/>
    <xf numFmtId="0" fontId="2" fillId="0" borderId="0" xfId="0" applyFont="1"/>
    <xf numFmtId="0" fontId="2" fillId="2" borderId="0" xfId="0" applyFont="1" applyFill="1"/>
    <xf numFmtId="0" fontId="0" fillId="2" borderId="0" xfId="0" applyFill="1"/>
    <xf numFmtId="165" fontId="0" fillId="2" borderId="0" xfId="1" applyNumberFormat="1" applyFont="1" applyFill="1"/>
    <xf numFmtId="10" fontId="0" fillId="0" borderId="2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0" borderId="2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0" fontId="0" fillId="2" borderId="1" xfId="0" applyFill="1" applyBorder="1"/>
    <xf numFmtId="0" fontId="2" fillId="2" borderId="1" xfId="0" quotePrefix="1" applyFont="1" applyFill="1" applyBorder="1"/>
    <xf numFmtId="0" fontId="22" fillId="0" borderId="0" xfId="61"/>
    <xf numFmtId="0" fontId="0" fillId="35" borderId="19" xfId="0" applyFill="1" applyBorder="1"/>
    <xf numFmtId="0" fontId="0" fillId="36" borderId="19" xfId="0" applyFill="1" applyBorder="1"/>
    <xf numFmtId="0" fontId="23" fillId="0" borderId="0" xfId="0" applyFont="1"/>
    <xf numFmtId="0" fontId="0" fillId="35" borderId="18" xfId="0" applyFill="1" applyBorder="1"/>
    <xf numFmtId="164" fontId="0" fillId="3" borderId="3" xfId="1" applyNumberFormat="1" applyFont="1" applyFill="1" applyBorder="1"/>
    <xf numFmtId="0" fontId="0" fillId="36" borderId="20" xfId="0" applyFill="1" applyBorder="1"/>
    <xf numFmtId="0" fontId="2" fillId="37" borderId="1" xfId="0" applyFont="1" applyFill="1" applyBorder="1" applyAlignment="1">
      <alignment horizontal="center"/>
    </xf>
    <xf numFmtId="164" fontId="0" fillId="3" borderId="2" xfId="1" applyNumberFormat="1" applyFont="1" applyFill="1" applyBorder="1"/>
    <xf numFmtId="0" fontId="2" fillId="0" borderId="0" xfId="0" applyFont="1" applyAlignment="1">
      <alignment horizontal="center"/>
    </xf>
    <xf numFmtId="0" fontId="22" fillId="0" borderId="0" xfId="61" applyAlignment="1">
      <alignment horizontal="left" indent="1"/>
    </xf>
    <xf numFmtId="0" fontId="2" fillId="35" borderId="1" xfId="0" applyFont="1" applyFill="1" applyBorder="1" applyAlignment="1">
      <alignment horizontal="center"/>
    </xf>
    <xf numFmtId="0" fontId="2" fillId="37" borderId="1" xfId="0" applyFont="1" applyFill="1" applyBorder="1"/>
    <xf numFmtId="0" fontId="2" fillId="37" borderId="1" xfId="0" quotePrefix="1" applyFont="1" applyFill="1" applyBorder="1"/>
    <xf numFmtId="165" fontId="0" fillId="0" borderId="1" xfId="0" applyNumberFormat="1" applyBorder="1"/>
    <xf numFmtId="0" fontId="2" fillId="38" borderId="1" xfId="0" applyFont="1" applyFill="1" applyBorder="1"/>
    <xf numFmtId="0" fontId="2" fillId="38" borderId="1" xfId="0" applyFont="1" applyFill="1" applyBorder="1" applyAlignment="1">
      <alignment horizontal="center"/>
    </xf>
    <xf numFmtId="166" fontId="0" fillId="0" borderId="1" xfId="2" applyNumberFormat="1" applyFont="1" applyBorder="1"/>
    <xf numFmtId="165" fontId="0" fillId="0" borderId="1" xfId="1" applyNumberFormat="1" applyFont="1" applyBorder="1"/>
    <xf numFmtId="0" fontId="0" fillId="0" borderId="0" xfId="0" quotePrefix="1"/>
    <xf numFmtId="9" fontId="0" fillId="0" borderId="0" xfId="0" applyNumberFormat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2" fillId="2" borderId="2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/>
    <xf numFmtId="0" fontId="2" fillId="2" borderId="27" xfId="0" applyFont="1" applyFill="1" applyBorder="1"/>
    <xf numFmtId="0" fontId="0" fillId="3" borderId="28" xfId="0" applyFill="1" applyBorder="1"/>
    <xf numFmtId="0" fontId="0" fillId="3" borderId="29" xfId="0" applyFill="1" applyBorder="1"/>
    <xf numFmtId="164" fontId="0" fillId="3" borderId="29" xfId="1" applyNumberFormat="1" applyFont="1" applyFill="1" applyBorder="1"/>
    <xf numFmtId="0" fontId="0" fillId="3" borderId="30" xfId="0" applyFill="1" applyBorder="1"/>
    <xf numFmtId="0" fontId="0" fillId="38" borderId="1" xfId="0" applyFill="1" applyBorder="1" applyAlignment="1">
      <alignment horizontal="center"/>
    </xf>
    <xf numFmtId="169" fontId="0" fillId="0" borderId="0" xfId="2" applyNumberFormat="1" applyFont="1"/>
    <xf numFmtId="169" fontId="2" fillId="38" borderId="1" xfId="2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/>
    <xf numFmtId="165" fontId="0" fillId="36" borderId="1" xfId="0" applyNumberForma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9" fontId="0" fillId="3" borderId="24" xfId="2" applyFont="1" applyFill="1" applyBorder="1"/>
    <xf numFmtId="9" fontId="0" fillId="3" borderId="25" xfId="2" applyFont="1" applyFill="1" applyBorder="1"/>
    <xf numFmtId="0" fontId="2" fillId="2" borderId="27" xfId="0" applyFont="1" applyFill="1" applyBorder="1" applyAlignment="1">
      <alignment horizontal="center"/>
    </xf>
    <xf numFmtId="9" fontId="0" fillId="3" borderId="30" xfId="2" applyFont="1" applyFill="1" applyBorder="1"/>
    <xf numFmtId="165" fontId="0" fillId="0" borderId="4" xfId="1" applyNumberFormat="1" applyFont="1" applyBorder="1"/>
    <xf numFmtId="165" fontId="0" fillId="0" borderId="21" xfId="1" applyNumberFormat="1" applyFont="1" applyBorder="1"/>
    <xf numFmtId="0" fontId="0" fillId="36" borderId="1" xfId="0" applyFill="1" applyBorder="1" applyAlignment="1">
      <alignment horizontal="center"/>
    </xf>
    <xf numFmtId="0" fontId="0" fillId="3" borderId="33" xfId="0" applyFill="1" applyBorder="1"/>
    <xf numFmtId="0" fontId="0" fillId="3" borderId="34" xfId="0" applyFill="1" applyBorder="1"/>
    <xf numFmtId="165" fontId="0" fillId="0" borderId="2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165" fontId="0" fillId="0" borderId="4" xfId="1" applyNumberFormat="1" applyFont="1" applyBorder="1" applyAlignment="1">
      <alignment horizontal="left"/>
    </xf>
    <xf numFmtId="165" fontId="0" fillId="36" borderId="5" xfId="1" applyNumberFormat="1" applyFont="1" applyFill="1" applyBorder="1"/>
    <xf numFmtId="170" fontId="0" fillId="0" borderId="2" xfId="1" applyNumberFormat="1" applyFont="1" applyBorder="1"/>
    <xf numFmtId="170" fontId="0" fillId="0" borderId="3" xfId="1" applyNumberFormat="1" applyFont="1" applyBorder="1"/>
    <xf numFmtId="170" fontId="0" fillId="0" borderId="4" xfId="1" applyNumberFormat="1" applyFont="1" applyBorder="1"/>
    <xf numFmtId="0" fontId="25" fillId="41" borderId="1" xfId="0" applyFont="1" applyFill="1" applyBorder="1"/>
    <xf numFmtId="0" fontId="0" fillId="0" borderId="1" xfId="0" applyBorder="1"/>
    <xf numFmtId="171" fontId="0" fillId="0" borderId="1" xfId="0" applyNumberFormat="1" applyBorder="1"/>
    <xf numFmtId="10" fontId="0" fillId="0" borderId="1" xfId="0" applyNumberFormat="1" applyBorder="1"/>
    <xf numFmtId="0" fontId="0" fillId="42" borderId="1" xfId="0" applyFill="1" applyBorder="1"/>
    <xf numFmtId="0" fontId="0" fillId="43" borderId="1" xfId="0" applyFill="1" applyBorder="1"/>
    <xf numFmtId="0" fontId="25" fillId="44" borderId="1" xfId="0" applyFont="1" applyFill="1" applyBorder="1"/>
    <xf numFmtId="0" fontId="0" fillId="39" borderId="1" xfId="0" applyFill="1" applyBorder="1"/>
    <xf numFmtId="172" fontId="0" fillId="0" borderId="0" xfId="0" applyNumberFormat="1"/>
    <xf numFmtId="172" fontId="2" fillId="0" borderId="0" xfId="0" applyNumberFormat="1" applyFont="1"/>
    <xf numFmtId="0" fontId="2" fillId="43" borderId="0" xfId="0" applyFont="1" applyFill="1"/>
    <xf numFmtId="0" fontId="2" fillId="45" borderId="0" xfId="0" applyFont="1" applyFill="1"/>
    <xf numFmtId="166" fontId="0" fillId="0" borderId="0" xfId="0" applyNumberFormat="1"/>
    <xf numFmtId="166" fontId="26" fillId="44" borderId="0" xfId="0" applyNumberFormat="1" applyFont="1" applyFill="1"/>
    <xf numFmtId="166" fontId="0" fillId="43" borderId="0" xfId="0" applyNumberFormat="1" applyFill="1"/>
    <xf numFmtId="0" fontId="27" fillId="0" borderId="0" xfId="0" applyFont="1"/>
    <xf numFmtId="173" fontId="0" fillId="0" borderId="1" xfId="0" applyNumberFormat="1" applyBorder="1"/>
    <xf numFmtId="166" fontId="0" fillId="42" borderId="1" xfId="0" applyNumberFormat="1" applyFill="1" applyBorder="1"/>
    <xf numFmtId="2" fontId="0" fillId="0" borderId="1" xfId="0" applyNumberFormat="1" applyBorder="1"/>
    <xf numFmtId="0" fontId="28" fillId="0" borderId="0" xfId="0" applyFont="1" applyAlignment="1">
      <alignment horizontal="center"/>
    </xf>
    <xf numFmtId="0" fontId="29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0" xfId="61" applyFont="1"/>
    <xf numFmtId="165" fontId="2" fillId="38" borderId="1" xfId="1" applyNumberFormat="1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0" fontId="2" fillId="38" borderId="32" xfId="0" applyFont="1" applyFill="1" applyBorder="1" applyAlignment="1">
      <alignment horizontal="center"/>
    </xf>
    <xf numFmtId="0" fontId="2" fillId="38" borderId="35" xfId="0" applyFont="1" applyFill="1" applyBorder="1" applyAlignment="1">
      <alignment horizontal="center"/>
    </xf>
    <xf numFmtId="0" fontId="2" fillId="38" borderId="31" xfId="0" applyFont="1" applyFill="1" applyBorder="1" applyAlignment="1">
      <alignment horizontal="center"/>
    </xf>
    <xf numFmtId="165" fontId="2" fillId="38" borderId="32" xfId="0" applyNumberFormat="1" applyFont="1" applyFill="1" applyBorder="1" applyAlignment="1">
      <alignment horizontal="center"/>
    </xf>
    <xf numFmtId="165" fontId="2" fillId="38" borderId="35" xfId="0" applyNumberFormat="1" applyFont="1" applyFill="1" applyBorder="1" applyAlignment="1">
      <alignment horizontal="center"/>
    </xf>
    <xf numFmtId="165" fontId="2" fillId="38" borderId="31" xfId="0" applyNumberFormat="1" applyFont="1" applyFill="1" applyBorder="1" applyAlignment="1">
      <alignment horizontal="center"/>
    </xf>
    <xf numFmtId="0" fontId="2" fillId="37" borderId="32" xfId="0" applyFont="1" applyFill="1" applyBorder="1" applyAlignment="1">
      <alignment horizontal="center"/>
    </xf>
    <xf numFmtId="0" fontId="2" fillId="37" borderId="35" xfId="0" applyFont="1" applyFill="1" applyBorder="1" applyAlignment="1">
      <alignment horizontal="center"/>
    </xf>
    <xf numFmtId="0" fontId="2" fillId="37" borderId="31" xfId="0" applyFont="1" applyFill="1" applyBorder="1" applyAlignment="1">
      <alignment horizontal="center"/>
    </xf>
    <xf numFmtId="169" fontId="2" fillId="38" borderId="32" xfId="2" applyNumberFormat="1" applyFont="1" applyFill="1" applyBorder="1" applyAlignment="1">
      <alignment horizontal="center"/>
    </xf>
    <xf numFmtId="169" fontId="2" fillId="38" borderId="35" xfId="2" applyNumberFormat="1" applyFont="1" applyFill="1" applyBorder="1" applyAlignment="1">
      <alignment horizontal="center"/>
    </xf>
    <xf numFmtId="169" fontId="2" fillId="38" borderId="31" xfId="2" applyNumberFormat="1" applyFont="1" applyFill="1" applyBorder="1" applyAlignment="1">
      <alignment horizontal="center"/>
    </xf>
    <xf numFmtId="0" fontId="2" fillId="36" borderId="32" xfId="0" applyFont="1" applyFill="1" applyBorder="1" applyAlignment="1">
      <alignment horizontal="center"/>
    </xf>
    <xf numFmtId="0" fontId="2" fillId="36" borderId="35" xfId="0" applyFont="1" applyFill="1" applyBorder="1" applyAlignment="1">
      <alignment horizontal="center"/>
    </xf>
    <xf numFmtId="0" fontId="2" fillId="36" borderId="31" xfId="0" applyFont="1" applyFill="1" applyBorder="1" applyAlignment="1">
      <alignment horizontal="center"/>
    </xf>
    <xf numFmtId="0" fontId="24" fillId="0" borderId="0" xfId="0" applyFont="1"/>
  </cellXfs>
  <cellStyles count="2830">
    <cellStyle name="_x000a_386grabber=M" xfId="66" xr:uid="{0C184458-A8DF-4C8C-A1CC-20BBE48190EB}"/>
    <cellStyle name="_Column1" xfId="67" xr:uid="{FE390143-A101-43C4-BB48-1B66CFBB88F7}"/>
    <cellStyle name="_Column2" xfId="68" xr:uid="{032ECDFE-7C3C-4D3C-B815-B21F3EF6F44D}"/>
    <cellStyle name="_Column3" xfId="69" xr:uid="{B6EEF382-0EC0-4388-9170-09C1689A151C}"/>
    <cellStyle name="_Column4" xfId="70" xr:uid="{2AE99044-F8B0-4750-8113-26CFFEC8F756}"/>
    <cellStyle name="_Column5" xfId="71" xr:uid="{CF6E9DF9-5F61-467A-B9D0-A31B47C98163}"/>
    <cellStyle name="_Column6" xfId="72" xr:uid="{805F60CF-1502-41C2-8BA8-B7EF13035B78}"/>
    <cellStyle name="_Column7" xfId="73" xr:uid="{E5F52165-FFDA-42F2-81C2-60FFA010A1FC}"/>
    <cellStyle name="_Data" xfId="74" xr:uid="{A5A0FF2A-169F-49E1-953D-D4D9668A0E6D}"/>
    <cellStyle name="_Data_Premium parameters-CorrectOrder" xfId="75" xr:uid="{8E1E5730-9F62-46C5-AAC2-43D6AFB830B2}"/>
    <cellStyle name="_DataEntry" xfId="76" xr:uid="{815BE207-9B47-4937-883A-899E6FF523D7}"/>
    <cellStyle name="_DataEntry 2" xfId="77" xr:uid="{094F3726-EA28-4EA0-882F-4F35F26EBD50}"/>
    <cellStyle name="_DataEntry 3" xfId="78" xr:uid="{0F454116-3694-4453-9528-76D1FB751439}"/>
    <cellStyle name="_DataEntry_Database" xfId="79" xr:uid="{A328560A-B195-48AE-808C-D05CE6A099B3}"/>
    <cellStyle name="_DataEntry_Premium parameters-CorrectOrder" xfId="80" xr:uid="{156C2439-1C46-4A54-A94F-D62A525457AA}"/>
    <cellStyle name="_DataLocked" xfId="81" xr:uid="{FE0EC8CA-6CD5-49F9-9615-7654FBB3B91C}"/>
    <cellStyle name="_DataSplit" xfId="82" xr:uid="{06E54E1C-01F8-4ECE-8531-721D406C221C}"/>
    <cellStyle name="_DataSum" xfId="83" xr:uid="{6AAF2F42-E227-45D5-B97E-D1E5DE044FCD}"/>
    <cellStyle name="_Header" xfId="84" xr:uid="{5429B9BE-2388-4B04-8C29-7F49B51C4809}"/>
    <cellStyle name="_Row1" xfId="85" xr:uid="{0646B8F4-281E-4E80-8604-125904943680}"/>
    <cellStyle name="_Row2" xfId="86" xr:uid="{542D5855-B16D-46C6-97E2-9E7703FF26C7}"/>
    <cellStyle name="_Row3" xfId="87" xr:uid="{F4BD6E4B-6CBE-43C0-BB0B-159CA4F88392}"/>
    <cellStyle name="_Row4" xfId="88" xr:uid="{018D5E24-4D6C-48B3-97CD-A633FF02D1D4}"/>
    <cellStyle name="_Row5" xfId="89" xr:uid="{8606772D-6870-4E11-AEAD-AA1AED6663A8}"/>
    <cellStyle name="_Row6" xfId="90" xr:uid="{3CC06646-76BE-460A-A9D4-A35296167BAA}"/>
    <cellStyle name="_Row7" xfId="91" xr:uid="{556915AD-03AF-40E3-8DE3-D1BA45A8F33F}"/>
    <cellStyle name="20 % - Aksentti1" xfId="92" xr:uid="{90DA3B54-9BC6-4405-8616-8330B1A13146}"/>
    <cellStyle name="20 % - Aksentti1 2" xfId="93" xr:uid="{C2BDC71C-CF7E-4C78-86BA-C68080546344}"/>
    <cellStyle name="20 % - Aksentti2" xfId="94" xr:uid="{3E8E1C5D-E321-4FA4-BEFF-EF6A82DEE7F8}"/>
    <cellStyle name="20 % - Aksentti2 2" xfId="95" xr:uid="{EEDF29E4-EBCD-433F-B847-D5EAE65A8D6F}"/>
    <cellStyle name="20 % - Aksentti3" xfId="96" xr:uid="{7DFA84A1-263D-491B-A8ED-EE80621EF03C}"/>
    <cellStyle name="20 % - Aksentti3 2" xfId="97" xr:uid="{21C155BE-3350-4983-8BB2-0AA5C36B2163}"/>
    <cellStyle name="20 % - Aksentti4" xfId="98" xr:uid="{569C9CEE-0030-4E08-AFD5-81CD543041D2}"/>
    <cellStyle name="20 % - Aksentti4 2" xfId="99" xr:uid="{7628FE32-C3AC-4F40-B064-4E665E970975}"/>
    <cellStyle name="20 % - Aksentti5" xfId="100" xr:uid="{1539FE12-3B96-421E-BA07-BBC78194E558}"/>
    <cellStyle name="20 % - Aksentti5 2" xfId="101" xr:uid="{F044D3D4-8995-4259-9651-373106E283E3}"/>
    <cellStyle name="20 % - Aksentti6" xfId="102" xr:uid="{4888DA32-BC79-47DB-82CF-61E9100B8F02}"/>
    <cellStyle name="20 % - Aksentti6 2" xfId="103" xr:uid="{C79BC307-8C08-447C-A125-62D57566EE0D}"/>
    <cellStyle name="20 % - Accent1" xfId="104" xr:uid="{190377C3-9DA4-44CB-A4EE-D249BFFB9636}"/>
    <cellStyle name="20 % - Accent1 2" xfId="105" xr:uid="{EB12E81B-4290-4D9D-9F6E-B076C8C1EE4C}"/>
    <cellStyle name="20 % - Accent2" xfId="106" xr:uid="{311B94CC-91CB-40C4-AEB3-6B4D0F3677BA}"/>
    <cellStyle name="20 % - Accent2 2" xfId="107" xr:uid="{6B5CA534-AED1-411B-B197-393C41A4C31A}"/>
    <cellStyle name="20 % - Accent3" xfId="108" xr:uid="{581B2ACC-FEC0-421E-842A-A49630572935}"/>
    <cellStyle name="20 % - Accent3 2" xfId="109" xr:uid="{48100103-279E-4FEB-BA9A-347180EB6C05}"/>
    <cellStyle name="20 % - Accent4" xfId="110" xr:uid="{D2547D7C-C6B2-4D31-8B89-B182AB8FC9ED}"/>
    <cellStyle name="20 % - Accent4 2" xfId="111" xr:uid="{5318F04E-060D-47F8-8596-121E744239C4}"/>
    <cellStyle name="20 % - Accent5" xfId="112" xr:uid="{31A18AF7-4A09-4ED5-89A5-D6D259F31EAF}"/>
    <cellStyle name="20 % - Accent5 2" xfId="113" xr:uid="{35170873-5700-4A57-A24F-837C7BF9C562}"/>
    <cellStyle name="20 % - Accent6" xfId="114" xr:uid="{95A45C2E-C60E-43DF-976F-EC9B625B1381}"/>
    <cellStyle name="20 % - Accent6 2" xfId="115" xr:uid="{DFD1E6F9-81E6-4033-B180-8C6D900E1561}"/>
    <cellStyle name="20% - Accent1" xfId="19" builtinId="30" customBuiltin="1"/>
    <cellStyle name="20% - Accent1 10" xfId="116" xr:uid="{EB32DE97-0EBD-4C34-A240-8D8487E55F03}"/>
    <cellStyle name="20% - Accent1 11" xfId="117" xr:uid="{1C94323B-D307-4E41-8769-EE9A4AE130C7}"/>
    <cellStyle name="20% - Accent1 12" xfId="118" xr:uid="{6B903006-1EEB-4424-A6FC-B28280DAB15B}"/>
    <cellStyle name="20% - Accent1 13" xfId="119" xr:uid="{A4E4C007-A1C8-4956-86F3-3621AC275A90}"/>
    <cellStyle name="20% - Accent1 14" xfId="120" xr:uid="{DD558BB0-D77E-4280-B744-9DC82882FF5F}"/>
    <cellStyle name="20% - Accent1 15" xfId="121" xr:uid="{B219C715-DDAC-4C31-A124-70C486A4F9B5}"/>
    <cellStyle name="20% - Accent1 16" xfId="122" xr:uid="{70C673B3-CCF9-49EB-8BB0-1EC0B962A9AD}"/>
    <cellStyle name="20% - Accent1 17" xfId="123" xr:uid="{C65BEFD9-7ACD-4D51-A676-360E87B71330}"/>
    <cellStyle name="20% - Accent1 18" xfId="124" xr:uid="{03F3813A-54F4-4E28-8695-EFE4DF069CE9}"/>
    <cellStyle name="20% - Accent1 2" xfId="125" xr:uid="{5840520B-E355-43A9-A847-2D41C8547B69}"/>
    <cellStyle name="20% - Accent1 2 10" xfId="126" xr:uid="{D94F0201-919A-4FD3-9300-4A5C46119B83}"/>
    <cellStyle name="20% - Accent1 2 11" xfId="127" xr:uid="{BF1F5FB7-B97B-44EE-BEC7-F59FB0F92633}"/>
    <cellStyle name="20% - Accent1 2 12" xfId="128" xr:uid="{BA2F61AD-3A90-4F10-8ACE-3531799E1022}"/>
    <cellStyle name="20% - Accent1 2 13" xfId="129" xr:uid="{37F69979-EAEB-4E88-B27A-97541AF10506}"/>
    <cellStyle name="20% - Accent1 2 2" xfId="130" xr:uid="{1A012C6A-FA11-443A-99D1-F1E5C2EE4486}"/>
    <cellStyle name="20% - Accent1 2 3" xfId="131" xr:uid="{C699D029-66A7-4BAA-8DF0-A818EF565FF8}"/>
    <cellStyle name="20% - Accent1 2 4" xfId="132" xr:uid="{292BAEBE-E368-4FA3-A5DD-B1805F2237EE}"/>
    <cellStyle name="20% - Accent1 2 5" xfId="133" xr:uid="{13C3FC05-2C67-492E-9734-491EF8FF9952}"/>
    <cellStyle name="20% - Accent1 2 6" xfId="134" xr:uid="{CBBB93F4-C3DF-40F6-90F6-FB371AEFA7A2}"/>
    <cellStyle name="20% - Accent1 2 7" xfId="135" xr:uid="{B07A3C34-42BA-42F0-A057-E65411AB9D72}"/>
    <cellStyle name="20% - Accent1 2 8" xfId="136" xr:uid="{5D04CF55-3639-431C-9F6A-15B0DE52D819}"/>
    <cellStyle name="20% - Accent1 2 9" xfId="137" xr:uid="{7F9E9CA0-980F-43B0-B87F-C17965CF5639}"/>
    <cellStyle name="20% - Accent1 3" xfId="138" xr:uid="{1EDAD4BE-7B2E-4525-909F-7E47F500DCA7}"/>
    <cellStyle name="20% - Accent1 3 10" xfId="139" xr:uid="{A954DFDA-8164-4224-AEE9-5BEE40592316}"/>
    <cellStyle name="20% - Accent1 3 11" xfId="140" xr:uid="{BEA48BB0-FC7C-4648-ACFB-3D1C9742E416}"/>
    <cellStyle name="20% - Accent1 3 12" xfId="141" xr:uid="{2CB0E0B5-5DB7-4FCA-BB3C-6B64A62CBA33}"/>
    <cellStyle name="20% - Accent1 3 13" xfId="142" xr:uid="{57258419-A618-4FD5-A875-AB8F5A343689}"/>
    <cellStyle name="20% - Accent1 3 2" xfId="143" xr:uid="{2B1B4CEF-9BB6-4A0B-B870-56A0E3B32970}"/>
    <cellStyle name="20% - Accent1 3 3" xfId="144" xr:uid="{8ED018A0-AD0B-41C3-BF44-44C0E91655C8}"/>
    <cellStyle name="20% - Accent1 3 4" xfId="145" xr:uid="{F17A3EB8-0319-4B5B-AD5B-D914341D2B10}"/>
    <cellStyle name="20% - Accent1 3 5" xfId="146" xr:uid="{C4E6052D-9A5D-4B8D-BCB0-FE369F28BA58}"/>
    <cellStyle name="20% - Accent1 3 6" xfId="147" xr:uid="{641F5FD7-E89D-48E5-8F42-A97660A36B6E}"/>
    <cellStyle name="20% - Accent1 3 7" xfId="148" xr:uid="{1AF56621-4839-484F-8553-295DD9FF0583}"/>
    <cellStyle name="20% - Accent1 3 8" xfId="149" xr:uid="{3593A067-89CF-456E-9664-4DDF51F676EA}"/>
    <cellStyle name="20% - Accent1 3 9" xfId="150" xr:uid="{AE41BE66-57F5-4154-8F5D-CA98EF1D80EA}"/>
    <cellStyle name="20% - Accent1 4" xfId="151" xr:uid="{C5A2CAAE-461B-4410-873E-05FAD67405EF}"/>
    <cellStyle name="20% - Accent1 5" xfId="152" xr:uid="{6C30AF7D-A369-4B5B-95E4-1563C6661E0A}"/>
    <cellStyle name="20% - Accent1 6" xfId="153" xr:uid="{D6793B7F-DA52-4639-B07E-84CE66E39118}"/>
    <cellStyle name="20% - Accent1 7" xfId="154" xr:uid="{CD2BE4F4-FE4F-46E7-B906-2ABB93D1BF1A}"/>
    <cellStyle name="20% - Accent1 8" xfId="155" xr:uid="{709600B7-BAD8-4F36-B372-271A6874628D}"/>
    <cellStyle name="20% - Accent1 9" xfId="156" xr:uid="{D227F12E-E9C8-4CCA-9378-9DDC7836EBFE}"/>
    <cellStyle name="20% - Accent2" xfId="22" builtinId="34" customBuiltin="1"/>
    <cellStyle name="20% - Accent2 10" xfId="157" xr:uid="{9E1565E4-2B70-4C21-85A6-0BD515D3C4F7}"/>
    <cellStyle name="20% - Accent2 11" xfId="158" xr:uid="{FDB118A8-9F7A-4BD3-946F-C7C28E9D9947}"/>
    <cellStyle name="20% - Accent2 12" xfId="159" xr:uid="{031BA5E4-681F-4139-A0B5-8DD0E6C49CEA}"/>
    <cellStyle name="20% - Accent2 13" xfId="160" xr:uid="{4684C070-9C3E-4E68-A56C-46402722482E}"/>
    <cellStyle name="20% - Accent2 14" xfId="161" xr:uid="{1C672E39-8810-4AF4-9F32-D5F73429E0AA}"/>
    <cellStyle name="20% - Accent2 15" xfId="162" xr:uid="{360CA879-959A-4822-932E-7507B5A9573C}"/>
    <cellStyle name="20% - Accent2 16" xfId="163" xr:uid="{0483406F-9F8C-4571-BFA2-475E6D0B3157}"/>
    <cellStyle name="20% - Accent2 17" xfId="164" xr:uid="{F403EA93-1323-411B-ABF6-F8388FB1325D}"/>
    <cellStyle name="20% - Accent2 18" xfId="165" xr:uid="{A6499DCB-5EB2-409A-81AB-0EAF0ED67D52}"/>
    <cellStyle name="20% - Accent2 2" xfId="166" xr:uid="{B42478BA-E767-41AF-8ABC-CE0CCFC228FE}"/>
    <cellStyle name="20% - Accent2 2 10" xfId="167" xr:uid="{66587979-C44C-4A17-9F95-BE8627C56EED}"/>
    <cellStyle name="20% - Accent2 2 11" xfId="168" xr:uid="{643B5B16-33F4-422D-9D73-A0E129DBBAE0}"/>
    <cellStyle name="20% - Accent2 2 12" xfId="169" xr:uid="{FF113FF4-0E14-4879-B4A7-9E18B4B4258F}"/>
    <cellStyle name="20% - Accent2 2 13" xfId="170" xr:uid="{5A8EF843-A57F-4AF0-88E2-A7652F959476}"/>
    <cellStyle name="20% - Accent2 2 2" xfId="171" xr:uid="{EC083A17-D83C-4396-93FE-76BF878E3140}"/>
    <cellStyle name="20% - Accent2 2 3" xfId="172" xr:uid="{C3FF8353-08A1-42E0-B26D-14AE23A1B612}"/>
    <cellStyle name="20% - Accent2 2 4" xfId="173" xr:uid="{096B1ADA-673B-4E28-8E5A-06D9EA7C5287}"/>
    <cellStyle name="20% - Accent2 2 5" xfId="174" xr:uid="{E3074734-1048-43C3-B031-3AA900325556}"/>
    <cellStyle name="20% - Accent2 2 6" xfId="175" xr:uid="{046B22DA-CE04-4FB5-BAD0-53558258387E}"/>
    <cellStyle name="20% - Accent2 2 7" xfId="176" xr:uid="{0E2A477E-02BD-4B02-84A7-75F25A3B4F7F}"/>
    <cellStyle name="20% - Accent2 2 8" xfId="177" xr:uid="{546339BE-677C-4008-835A-3146C70B61F0}"/>
    <cellStyle name="20% - Accent2 2 9" xfId="178" xr:uid="{1CD12AF3-7F45-43C2-B4E0-31F6C2BC1C13}"/>
    <cellStyle name="20% - Accent2 3" xfId="179" xr:uid="{6CCE957A-9876-4761-8E21-6FB750A8478B}"/>
    <cellStyle name="20% - Accent2 3 10" xfId="180" xr:uid="{8556C582-F96F-449A-A072-A7D1BFD7DFEA}"/>
    <cellStyle name="20% - Accent2 3 11" xfId="181" xr:uid="{F777E502-F87C-4156-8C40-4C46678D8195}"/>
    <cellStyle name="20% - Accent2 3 12" xfId="182" xr:uid="{23278EFE-922F-4DF0-BAEF-EFC6A582E435}"/>
    <cellStyle name="20% - Accent2 3 13" xfId="183" xr:uid="{028E814C-A543-4746-8820-A3320A3FE5E5}"/>
    <cellStyle name="20% - Accent2 3 2" xfId="184" xr:uid="{E8D3FC8A-EAB4-4F43-82A4-A713FEF02325}"/>
    <cellStyle name="20% - Accent2 3 3" xfId="185" xr:uid="{3EAE7B83-A8D8-45A5-9262-F9A5973AE6C8}"/>
    <cellStyle name="20% - Accent2 3 4" xfId="186" xr:uid="{6EA46E49-DB3A-4748-982F-5042ADAA4213}"/>
    <cellStyle name="20% - Accent2 3 5" xfId="187" xr:uid="{83F8361F-2F8B-45F6-B09C-FA233668FA7B}"/>
    <cellStyle name="20% - Accent2 3 6" xfId="188" xr:uid="{F57198ED-0540-4C1C-8ED0-D4E007027428}"/>
    <cellStyle name="20% - Accent2 3 7" xfId="189" xr:uid="{F1E37DA2-F081-4FC4-A3C4-638D2C4CC78D}"/>
    <cellStyle name="20% - Accent2 3 8" xfId="190" xr:uid="{5759E5B0-7EA0-4DB4-A3BF-F1A0DBAB406A}"/>
    <cellStyle name="20% - Accent2 3 9" xfId="191" xr:uid="{48313028-BD2D-4D0F-9D6E-F323B49537F7}"/>
    <cellStyle name="20% - Accent2 4" xfId="192" xr:uid="{E2074E95-91C6-467C-BBBC-13BE24F9BC7D}"/>
    <cellStyle name="20% - Accent2 5" xfId="193" xr:uid="{02401A98-6180-4F16-97EE-216886CA9904}"/>
    <cellStyle name="20% - Accent2 6" xfId="194" xr:uid="{06D24501-F039-40F7-84E7-7BFE510718F5}"/>
    <cellStyle name="20% - Accent2 7" xfId="195" xr:uid="{F9E54FC1-CAA1-46D6-B573-B3402F4A7014}"/>
    <cellStyle name="20% - Accent2 8" xfId="196" xr:uid="{8D152077-A8DA-494A-8681-F6F795B932EE}"/>
    <cellStyle name="20% - Accent2 9" xfId="197" xr:uid="{037C57C2-7A06-4A1C-B6CF-44503F0CF581}"/>
    <cellStyle name="20% - Accent3" xfId="25" builtinId="38" customBuiltin="1"/>
    <cellStyle name="20% - Accent3 10" xfId="198" xr:uid="{39E7503D-6908-452E-8B74-47742486966B}"/>
    <cellStyle name="20% - Accent3 11" xfId="199" xr:uid="{4F3B311A-6EAE-4F43-92C6-689A1687871B}"/>
    <cellStyle name="20% - Accent3 12" xfId="200" xr:uid="{3B4F513E-D8EA-4793-BB57-6FF149D918C9}"/>
    <cellStyle name="20% - Accent3 13" xfId="201" xr:uid="{4F3DE490-F74D-44D1-80D0-779E2FA41402}"/>
    <cellStyle name="20% - Accent3 14" xfId="202" xr:uid="{43EAF742-096D-4687-89F1-E5A16E26C0BF}"/>
    <cellStyle name="20% - Accent3 15" xfId="203" xr:uid="{D8F570EB-3249-4D70-9457-740FC5C60241}"/>
    <cellStyle name="20% - Accent3 16" xfId="204" xr:uid="{9BE4C8E1-5CAA-45BF-B60F-EBE8355A4643}"/>
    <cellStyle name="20% - Accent3 17" xfId="205" xr:uid="{BB920D7A-6EB9-47C0-8CBA-772798C038B0}"/>
    <cellStyle name="20% - Accent3 18" xfId="206" xr:uid="{61D362C2-5DC4-4D7B-9E00-E8C21666A3C6}"/>
    <cellStyle name="20% - Accent3 2" xfId="207" xr:uid="{3FFB74D2-4CBE-44E1-ADE7-96075EC4E6DF}"/>
    <cellStyle name="20% - Accent3 2 10" xfId="208" xr:uid="{EBBA331A-F114-474F-8BE0-CBE16F8CD1BC}"/>
    <cellStyle name="20% - Accent3 2 11" xfId="209" xr:uid="{4165995F-6C8F-4C6B-8296-5F6F296DDDAF}"/>
    <cellStyle name="20% - Accent3 2 12" xfId="210" xr:uid="{79872C51-0EDC-4B79-82B0-345FBD74A2AE}"/>
    <cellStyle name="20% - Accent3 2 13" xfId="211" xr:uid="{3F33D2A3-C131-4524-848B-5945BE307FB7}"/>
    <cellStyle name="20% - Accent3 2 2" xfId="212" xr:uid="{88AF36D2-D9ED-439C-9850-7E0A88186E6B}"/>
    <cellStyle name="20% - Accent3 2 3" xfId="213" xr:uid="{5F7FE993-7724-421B-A943-CC62FB4C13FF}"/>
    <cellStyle name="20% - Accent3 2 4" xfId="214" xr:uid="{50315F17-E9E0-4B2A-B544-749AF90C8886}"/>
    <cellStyle name="20% - Accent3 2 5" xfId="215" xr:uid="{5E70D24B-3E48-4F59-B6F2-FCF03CD07F4F}"/>
    <cellStyle name="20% - Accent3 2 6" xfId="216" xr:uid="{228886FB-8BFA-4687-A417-EF3F8085DF89}"/>
    <cellStyle name="20% - Accent3 2 7" xfId="217" xr:uid="{0E45F561-0A6F-41A1-AE79-8096B54EA276}"/>
    <cellStyle name="20% - Accent3 2 8" xfId="218" xr:uid="{731E5CED-629E-4897-AB3A-684F5A0AFAC7}"/>
    <cellStyle name="20% - Accent3 2 9" xfId="219" xr:uid="{19CFEFAF-3B8B-4366-883D-0640ABB0C2B0}"/>
    <cellStyle name="20% - Accent3 3" xfId="220" xr:uid="{935F3D65-437D-4DF1-AE62-839913B5FA3A}"/>
    <cellStyle name="20% - Accent3 3 10" xfId="221" xr:uid="{9F6BAF3D-ACAC-4311-8BA2-DCA8D81F4247}"/>
    <cellStyle name="20% - Accent3 3 11" xfId="222" xr:uid="{6339FBCF-0F6C-4302-9ECA-C41B984E222C}"/>
    <cellStyle name="20% - Accent3 3 12" xfId="223" xr:uid="{CD76E749-EEB8-4E79-9B22-CFEFB9281B3B}"/>
    <cellStyle name="20% - Accent3 3 13" xfId="224" xr:uid="{7587A3CD-74BA-4E21-A2B1-AA2A46751311}"/>
    <cellStyle name="20% - Accent3 3 2" xfId="225" xr:uid="{62326E6C-A11C-44BC-87EA-98D66A599382}"/>
    <cellStyle name="20% - Accent3 3 3" xfId="226" xr:uid="{DF6A68BF-FA1B-4A76-B887-4F45E3D4DC19}"/>
    <cellStyle name="20% - Accent3 3 4" xfId="227" xr:uid="{D0DF8674-1754-4F54-AEBC-7F77FAFC0FD8}"/>
    <cellStyle name="20% - Accent3 3 5" xfId="228" xr:uid="{84A6883F-2B47-4B4D-BFCE-7CF4CC16E3D4}"/>
    <cellStyle name="20% - Accent3 3 6" xfId="229" xr:uid="{41A1A095-E7F9-4F4D-A6C3-144D24624D89}"/>
    <cellStyle name="20% - Accent3 3 7" xfId="230" xr:uid="{28112436-BAA7-4FFD-9B22-86AD98A60706}"/>
    <cellStyle name="20% - Accent3 3 8" xfId="231" xr:uid="{D0E3EDD3-B688-4C01-A14C-2A3BBD0EA136}"/>
    <cellStyle name="20% - Accent3 3 9" xfId="232" xr:uid="{D6D4EC28-3B9F-4B0A-9A5A-D956E255FE0D}"/>
    <cellStyle name="20% - Accent3 4" xfId="233" xr:uid="{9EB5B027-72D9-4715-8484-00D1E76BD968}"/>
    <cellStyle name="20% - Accent3 5" xfId="234" xr:uid="{E0B68D60-8DDF-47C5-9182-7D9C3569E7C0}"/>
    <cellStyle name="20% - Accent3 6" xfId="235" xr:uid="{1EE0345B-8A38-4FE5-8A3A-7B00BCCB2D02}"/>
    <cellStyle name="20% - Accent3 7" xfId="236" xr:uid="{05B74853-0FE6-46B3-8643-E151465E39E4}"/>
    <cellStyle name="20% - Accent3 8" xfId="237" xr:uid="{56875AB9-363F-4B26-B708-5124D9980A8E}"/>
    <cellStyle name="20% - Accent3 9" xfId="238" xr:uid="{9E292A5E-C836-4320-AC86-6F58B60B5393}"/>
    <cellStyle name="20% - Accent4" xfId="28" builtinId="42" customBuiltin="1"/>
    <cellStyle name="20% - Accent4 10" xfId="239" xr:uid="{756E79D6-32BC-4848-9768-45009E7D15AC}"/>
    <cellStyle name="20% - Accent4 11" xfId="240" xr:uid="{0073B464-2328-4299-AEF5-23FFC2D33931}"/>
    <cellStyle name="20% - Accent4 12" xfId="241" xr:uid="{48CA0306-901B-4D0B-9123-E846260803C5}"/>
    <cellStyle name="20% - Accent4 13" xfId="242" xr:uid="{3D7FE08D-6C7B-4837-A40E-20726C1FB66A}"/>
    <cellStyle name="20% - Accent4 14" xfId="243" xr:uid="{69ED4787-A052-439A-B7B7-1AF45653910A}"/>
    <cellStyle name="20% - Accent4 15" xfId="244" xr:uid="{A2672A8E-F0CD-434C-BAA5-142D92CC4D23}"/>
    <cellStyle name="20% - Accent4 16" xfId="245" xr:uid="{96E4B7B6-D9DF-4AC7-9D9D-05CA4BE513BA}"/>
    <cellStyle name="20% - Accent4 17" xfId="246" xr:uid="{CEB54456-FFB4-41FD-9EF2-72750D780BF1}"/>
    <cellStyle name="20% - Accent4 18" xfId="247" xr:uid="{2A9CE908-876F-432C-94D6-4D7339BA3A9F}"/>
    <cellStyle name="20% - Accent4 2" xfId="248" xr:uid="{996D3ADF-2003-41C0-A1D2-379FAB4F51B3}"/>
    <cellStyle name="20% - Accent4 2 10" xfId="249" xr:uid="{B2B69B30-7712-482F-9DB8-6436153645B3}"/>
    <cellStyle name="20% - Accent4 2 11" xfId="250" xr:uid="{13972CF2-1FF8-40D1-95F8-D3B236CB5695}"/>
    <cellStyle name="20% - Accent4 2 12" xfId="251" xr:uid="{2286787C-74EE-495B-8CB6-1455B0D50567}"/>
    <cellStyle name="20% - Accent4 2 13" xfId="252" xr:uid="{1C884D6C-6D4B-41B2-85C5-00873601A48D}"/>
    <cellStyle name="20% - Accent4 2 2" xfId="253" xr:uid="{D73063C0-0871-404E-8385-A8B318054B33}"/>
    <cellStyle name="20% - Accent4 2 3" xfId="254" xr:uid="{B967D87D-50D5-4074-B2ED-6560F675DAF0}"/>
    <cellStyle name="20% - Accent4 2 4" xfId="255" xr:uid="{DD5BE882-F118-44E5-90FC-8EDCB109AB50}"/>
    <cellStyle name="20% - Accent4 2 5" xfId="256" xr:uid="{855938B4-E039-49AC-9040-6AC487608F99}"/>
    <cellStyle name="20% - Accent4 2 6" xfId="257" xr:uid="{CD98121B-5E77-4A54-B2F4-22EE594A1254}"/>
    <cellStyle name="20% - Accent4 2 7" xfId="258" xr:uid="{49BC90B0-A4B0-49C9-A8D1-30D59E9317FC}"/>
    <cellStyle name="20% - Accent4 2 8" xfId="259" xr:uid="{42495FC8-2D72-463E-B887-50E289B3BAA4}"/>
    <cellStyle name="20% - Accent4 2 9" xfId="260" xr:uid="{5EB11F9E-AEF8-44F6-A752-2EDF8DD4A1BB}"/>
    <cellStyle name="20% - Accent4 3" xfId="261" xr:uid="{9267ED2A-F9D9-41A1-BBB3-0C9899E27483}"/>
    <cellStyle name="20% - Accent4 3 10" xfId="262" xr:uid="{3AAEDF45-2C89-4AF9-822D-A21D50F82E68}"/>
    <cellStyle name="20% - Accent4 3 11" xfId="263" xr:uid="{A7DBECF7-2FBD-4C0E-8C94-56B9EEE3B148}"/>
    <cellStyle name="20% - Accent4 3 12" xfId="264" xr:uid="{B63677D1-2E48-4D08-A091-DBF8ED3CE4F0}"/>
    <cellStyle name="20% - Accent4 3 13" xfId="265" xr:uid="{2822450B-F99A-44B1-BB97-EE511A204F69}"/>
    <cellStyle name="20% - Accent4 3 2" xfId="266" xr:uid="{4FEE6BC5-779D-4CFF-9C57-9FFACD664D3C}"/>
    <cellStyle name="20% - Accent4 3 3" xfId="267" xr:uid="{E2722D2B-9D1F-4C16-8FC6-D5EC1FF606F7}"/>
    <cellStyle name="20% - Accent4 3 4" xfId="268" xr:uid="{76174603-F143-43C5-A450-4085AEAEB932}"/>
    <cellStyle name="20% - Accent4 3 5" xfId="269" xr:uid="{3143560D-510A-42CD-9498-573F1A4C1C75}"/>
    <cellStyle name="20% - Accent4 3 6" xfId="270" xr:uid="{AFB03667-FC58-4C4A-8AD1-5F0ED387CB5A}"/>
    <cellStyle name="20% - Accent4 3 7" xfId="271" xr:uid="{6AE15E86-1F6E-4968-AE3F-9702AB85E5F7}"/>
    <cellStyle name="20% - Accent4 3 8" xfId="272" xr:uid="{AA98F571-07B7-4842-89A0-9CD92B5E3C47}"/>
    <cellStyle name="20% - Accent4 3 9" xfId="273" xr:uid="{F7D2F419-C4ED-4F9E-A693-0442BBB768F1}"/>
    <cellStyle name="20% - Accent4 4" xfId="274" xr:uid="{B2EB712F-1019-4D30-AF3E-CC638D67F8F1}"/>
    <cellStyle name="20% - Accent4 5" xfId="275" xr:uid="{3A516ABD-5BB3-4AFC-A11E-474EDCADCEFC}"/>
    <cellStyle name="20% - Accent4 6" xfId="276" xr:uid="{0017279D-6B5A-4372-A16F-F320EE39E775}"/>
    <cellStyle name="20% - Accent4 7" xfId="277" xr:uid="{351A9F67-09AC-4837-882E-3548527887F8}"/>
    <cellStyle name="20% - Accent4 8" xfId="278" xr:uid="{7103DF9C-519E-4D6E-8BFD-5A27C2C363B1}"/>
    <cellStyle name="20% - Accent4 9" xfId="279" xr:uid="{7D2E6675-5CCD-4421-A6FE-06ECD792CF88}"/>
    <cellStyle name="20% - Accent5" xfId="31" builtinId="46" customBuiltin="1"/>
    <cellStyle name="20% - Accent5 10" xfId="280" xr:uid="{6ACBF0BD-189B-4BBB-BE13-E5B594CAF863}"/>
    <cellStyle name="20% - Accent5 11" xfId="281" xr:uid="{DB638E90-F746-454B-8937-ECF1262EB6B2}"/>
    <cellStyle name="20% - Accent5 12" xfId="282" xr:uid="{26C504B1-AD01-48ED-BC6B-1FBD077B1795}"/>
    <cellStyle name="20% - Accent5 13" xfId="283" xr:uid="{5609769B-031A-4455-988C-D3F4483A8743}"/>
    <cellStyle name="20% - Accent5 14" xfId="284" xr:uid="{9E8477FB-22B4-44E0-A943-4BEB0BD6B9A9}"/>
    <cellStyle name="20% - Accent5 15" xfId="285" xr:uid="{001DD393-1D72-45D5-BB16-5F3F1173243C}"/>
    <cellStyle name="20% - Accent5 16" xfId="286" xr:uid="{66C0BBBE-F171-4838-94D2-82BA3A29C203}"/>
    <cellStyle name="20% - Accent5 17" xfId="287" xr:uid="{D1E03D6D-661F-4B8B-81A4-06BD44764C7D}"/>
    <cellStyle name="20% - Accent5 18" xfId="288" xr:uid="{B5A7FE0D-0EF1-4064-BFB0-02C0C551BD2D}"/>
    <cellStyle name="20% - Accent5 2" xfId="289" xr:uid="{2CF490EC-B0A7-4016-BE37-D6EA48096133}"/>
    <cellStyle name="20% - Accent5 2 10" xfId="290" xr:uid="{D3DC5575-56C1-4014-829E-69322B6E4FEB}"/>
    <cellStyle name="20% - Accent5 2 11" xfId="291" xr:uid="{AE193F13-F151-4D21-8981-543D0044AA8B}"/>
    <cellStyle name="20% - Accent5 2 12" xfId="292" xr:uid="{F3C0333E-CC96-4CD9-B994-EB674476F814}"/>
    <cellStyle name="20% - Accent5 2 13" xfId="293" xr:uid="{41425B42-8DE9-422D-9365-14FB8594DF1F}"/>
    <cellStyle name="20% - Accent5 2 2" xfId="294" xr:uid="{8830C7DF-0B1E-4EB5-B176-B2832E89A5FB}"/>
    <cellStyle name="20% - Accent5 2 3" xfId="295" xr:uid="{5E9BCE4C-B62D-4759-8371-0AEFCEDFD328}"/>
    <cellStyle name="20% - Accent5 2 4" xfId="296" xr:uid="{4A939E15-7702-4B90-A646-89098026E444}"/>
    <cellStyle name="20% - Accent5 2 5" xfId="297" xr:uid="{FDA40FB2-5585-4CA2-9178-0175D9996A97}"/>
    <cellStyle name="20% - Accent5 2 6" xfId="298" xr:uid="{1BE379E7-4FCE-47BD-8D60-EBA98D0D8572}"/>
    <cellStyle name="20% - Accent5 2 7" xfId="299" xr:uid="{EF028F43-6C48-473A-BC2D-81866DCBFDA8}"/>
    <cellStyle name="20% - Accent5 2 8" xfId="300" xr:uid="{232F4EF1-81F1-4005-BFCF-542CF9C39FB9}"/>
    <cellStyle name="20% - Accent5 2 9" xfId="301" xr:uid="{58D28ACF-899B-4C45-BA7B-D101EBBA3442}"/>
    <cellStyle name="20% - Accent5 3" xfId="302" xr:uid="{25A6B5F2-7880-425C-A205-534B160E2149}"/>
    <cellStyle name="20% - Accent5 3 10" xfId="303" xr:uid="{F51C4968-A3E9-4BCF-9F1A-A362A8A9D8F4}"/>
    <cellStyle name="20% - Accent5 3 11" xfId="304" xr:uid="{2CB162A8-350D-4425-923E-D2341C04B1AA}"/>
    <cellStyle name="20% - Accent5 3 12" xfId="305" xr:uid="{92398B59-F965-413E-9E12-B7226139463C}"/>
    <cellStyle name="20% - Accent5 3 13" xfId="306" xr:uid="{8EC44731-FD0D-4BEF-9F1E-2805374B7241}"/>
    <cellStyle name="20% - Accent5 3 2" xfId="307" xr:uid="{E347DDBF-5E45-4739-92BE-82374A92F008}"/>
    <cellStyle name="20% - Accent5 3 3" xfId="308" xr:uid="{6F1BE6D7-261C-4FD5-AD92-E50A708234D4}"/>
    <cellStyle name="20% - Accent5 3 4" xfId="309" xr:uid="{A9D2C867-66EA-4CA2-AE05-EA3A2EA502E9}"/>
    <cellStyle name="20% - Accent5 3 5" xfId="310" xr:uid="{7D026F0E-E0D6-4000-89E9-7EC2CCECB821}"/>
    <cellStyle name="20% - Accent5 3 6" xfId="311" xr:uid="{CD45B908-8F54-4ED0-85A9-9ACA7775C3B0}"/>
    <cellStyle name="20% - Accent5 3 7" xfId="312" xr:uid="{F2F82BD5-388A-4C5B-84B7-5310F53286B0}"/>
    <cellStyle name="20% - Accent5 3 8" xfId="313" xr:uid="{25DAF286-5546-4EA8-B49C-78390361A69F}"/>
    <cellStyle name="20% - Accent5 3 9" xfId="314" xr:uid="{37BCB64F-9531-45BD-BDE2-93CB5AAC366C}"/>
    <cellStyle name="20% - Accent5 4" xfId="315" xr:uid="{DC8E6131-B936-4073-8109-6A2D65409855}"/>
    <cellStyle name="20% - Accent5 5" xfId="316" xr:uid="{FD3EC17F-D925-45C6-A2AC-17476259E87B}"/>
    <cellStyle name="20% - Accent5 6" xfId="317" xr:uid="{F04793A1-5E4E-40EF-B0AD-4838D5361DD5}"/>
    <cellStyle name="20% - Accent5 7" xfId="318" xr:uid="{11131581-CA0E-4496-AA03-B22198E86BAD}"/>
    <cellStyle name="20% - Accent5 8" xfId="319" xr:uid="{4FB49B53-3C78-4CF0-BD73-10514E2D84CB}"/>
    <cellStyle name="20% - Accent5 9" xfId="320" xr:uid="{1BD55716-BD4F-4EE3-B5E6-616023146C94}"/>
    <cellStyle name="20% - Accent6" xfId="34" builtinId="50" customBuiltin="1"/>
    <cellStyle name="20% - Accent6 10" xfId="321" xr:uid="{9832FD68-99BD-45C7-9865-9AF99B2C7AE4}"/>
    <cellStyle name="20% - Accent6 11" xfId="322" xr:uid="{FB66070D-00F6-4B9A-B1C9-25246B1DE51A}"/>
    <cellStyle name="20% - Accent6 12" xfId="323" xr:uid="{E87E4F50-FF74-4848-B5FE-ACEBE7A5D795}"/>
    <cellStyle name="20% - Accent6 13" xfId="324" xr:uid="{B1BD6384-3894-421F-B7F4-1DE6275ADA54}"/>
    <cellStyle name="20% - Accent6 14" xfId="325" xr:uid="{0F9B5AA6-7E9E-4FA8-93A7-CE3AAAF4E692}"/>
    <cellStyle name="20% - Accent6 15" xfId="326" xr:uid="{33EBA111-DE44-47E0-948F-2BCA58E34A0A}"/>
    <cellStyle name="20% - Accent6 16" xfId="327" xr:uid="{BE13FAC5-944C-482A-A5D5-4080D0798727}"/>
    <cellStyle name="20% - Accent6 17" xfId="328" xr:uid="{1789A21A-6F18-4739-AC52-D72290ACC042}"/>
    <cellStyle name="20% - Accent6 18" xfId="329" xr:uid="{894D4F14-9097-49CC-A10E-DECA3BFDA2AA}"/>
    <cellStyle name="20% - Accent6 2" xfId="330" xr:uid="{6A7E2182-BF71-4B49-A76F-22CE773270A8}"/>
    <cellStyle name="20% - Accent6 2 10" xfId="331" xr:uid="{11B6B0AF-84BD-45DF-97DC-67A0B7DA2BC2}"/>
    <cellStyle name="20% - Accent6 2 11" xfId="332" xr:uid="{3417F00B-E0BE-4FAF-B5DE-81E22C02C1F0}"/>
    <cellStyle name="20% - Accent6 2 12" xfId="333" xr:uid="{6CBB4A2D-AC82-45EC-8EB7-38AF873B8DD1}"/>
    <cellStyle name="20% - Accent6 2 13" xfId="334" xr:uid="{0A46FA64-4292-44AD-B0D4-53DEC2C152B6}"/>
    <cellStyle name="20% - Accent6 2 2" xfId="335" xr:uid="{D5443291-406D-4F60-8A35-8AA36726C1FA}"/>
    <cellStyle name="20% - Accent6 2 3" xfId="336" xr:uid="{E482ADB7-3EB3-4E50-AB21-C8B9AC0DDD05}"/>
    <cellStyle name="20% - Accent6 2 4" xfId="337" xr:uid="{132A74DC-0F06-4FE8-8A9A-7517AABF86FC}"/>
    <cellStyle name="20% - Accent6 2 5" xfId="338" xr:uid="{F76795DD-FA76-4BF8-B30F-FF3E2EDA7B80}"/>
    <cellStyle name="20% - Accent6 2 6" xfId="339" xr:uid="{3EE78B3B-BF0C-4313-8DF1-2C079D1D335B}"/>
    <cellStyle name="20% - Accent6 2 7" xfId="340" xr:uid="{E7372730-A6B4-47DC-862F-295A8308165D}"/>
    <cellStyle name="20% - Accent6 2 8" xfId="341" xr:uid="{2AD54820-53DD-49C5-9D11-10DC3F4DC292}"/>
    <cellStyle name="20% - Accent6 2 9" xfId="342" xr:uid="{8D968190-48EB-4027-A3D2-A0AF01BBD0B9}"/>
    <cellStyle name="20% - Accent6 3" xfId="343" xr:uid="{8BD93B4F-A3D2-441E-9F1F-04DF66BAB792}"/>
    <cellStyle name="20% - Accent6 3 10" xfId="344" xr:uid="{F46D9D6A-A796-4A97-A141-563B088AC05B}"/>
    <cellStyle name="20% - Accent6 3 11" xfId="345" xr:uid="{0524DF4B-A7B9-4D18-9C7F-55A7AA17103C}"/>
    <cellStyle name="20% - Accent6 3 12" xfId="346" xr:uid="{B33A84F2-06E8-4659-99E4-5F55508579A0}"/>
    <cellStyle name="20% - Accent6 3 13" xfId="347" xr:uid="{045B2D0A-6710-43E0-9189-137AB0E8CA43}"/>
    <cellStyle name="20% - Accent6 3 2" xfId="348" xr:uid="{9AE71A13-2ABF-45C3-802A-C38183797489}"/>
    <cellStyle name="20% - Accent6 3 3" xfId="349" xr:uid="{CFDD0125-E557-4666-89E5-A5FC0B6FA7D8}"/>
    <cellStyle name="20% - Accent6 3 4" xfId="350" xr:uid="{282A826E-9AF1-4386-A45B-57DEA04CDA57}"/>
    <cellStyle name="20% - Accent6 3 5" xfId="351" xr:uid="{9E89F73B-C6B8-4607-9A99-8654252D0C33}"/>
    <cellStyle name="20% - Accent6 3 6" xfId="352" xr:uid="{FE16A7AC-20EF-4757-91C4-FCF6CA613712}"/>
    <cellStyle name="20% - Accent6 3 7" xfId="353" xr:uid="{0A15CC13-677F-4C06-857F-54ACF5ABD86A}"/>
    <cellStyle name="20% - Accent6 3 8" xfId="354" xr:uid="{929451C5-08E4-40AA-AB0E-ED6CFDC0263D}"/>
    <cellStyle name="20% - Accent6 3 9" xfId="355" xr:uid="{93B42D4B-C9FE-4B6A-930D-E35C4A2A4BF2}"/>
    <cellStyle name="20% - Accent6 4" xfId="356" xr:uid="{0F8D87F9-E2E2-4938-9176-D7F004B5CD3B}"/>
    <cellStyle name="20% - Accent6 5" xfId="357" xr:uid="{46C047B3-5477-46BC-A553-0E410334272F}"/>
    <cellStyle name="20% - Accent6 6" xfId="358" xr:uid="{04E50553-A19E-41F9-B38D-07145C8E32E8}"/>
    <cellStyle name="20% - Accent6 7" xfId="359" xr:uid="{AEC5FBE9-D9CB-4ACE-8771-AFE1158B2E60}"/>
    <cellStyle name="20% - Accent6 8" xfId="360" xr:uid="{C6CFF331-59D0-44AB-A8FA-CB6AFDA12EEB}"/>
    <cellStyle name="20% - Accent6 9" xfId="361" xr:uid="{6E82A5C5-2CB3-4697-BAD8-86C9A3089C8F}"/>
    <cellStyle name="20% - Akzent1" xfId="362" xr:uid="{44CCB48B-1637-4585-AF91-56C68544741C}"/>
    <cellStyle name="20% - Akzent2" xfId="363" xr:uid="{4E298866-E846-480C-B27B-249DD3723B67}"/>
    <cellStyle name="20% - Akzent3" xfId="364" xr:uid="{5333AF6D-ADB6-41FD-A01F-90463A36DD86}"/>
    <cellStyle name="20% - Akzent4" xfId="365" xr:uid="{5CF01D2D-7121-46DA-8510-7A6A63389C04}"/>
    <cellStyle name="20% - Akzent5" xfId="366" xr:uid="{1237752F-F013-43E2-99CE-21AB3018A366}"/>
    <cellStyle name="20% - Akzent6" xfId="367" xr:uid="{75015230-9560-48D5-8DFB-904AB650C017}"/>
    <cellStyle name="20% - Colore 1" xfId="368" xr:uid="{B87D74E7-8379-428E-8379-6B5A23B50C7D}"/>
    <cellStyle name="20% - Colore 1 2" xfId="369" xr:uid="{D55E2694-8497-4771-B980-5E4F25828B6C}"/>
    <cellStyle name="20% - Colore 2" xfId="370" xr:uid="{F7A974D9-C311-4899-869A-96813EF4F2FA}"/>
    <cellStyle name="20% - Colore 2 2" xfId="371" xr:uid="{502E4DF0-36C1-4452-9D6E-572E056AB68B}"/>
    <cellStyle name="20% - Colore 3" xfId="372" xr:uid="{9CA0C7B8-109F-4EEB-A44B-FEC6F1C67220}"/>
    <cellStyle name="20% - Colore 3 2" xfId="373" xr:uid="{37EF84EF-9BA1-41B1-A95F-FEB08DAED4AF}"/>
    <cellStyle name="20% - Colore 4" xfId="374" xr:uid="{924B07D5-CC14-48F1-AB84-4A2CFF1DB705}"/>
    <cellStyle name="20% - Colore 4 2" xfId="375" xr:uid="{05266BB8-CB14-4F7A-8B3A-EC5B8131C409}"/>
    <cellStyle name="20% - Colore 5" xfId="376" xr:uid="{6A8E1634-4649-4065-9BB2-BDF22C5ED481}"/>
    <cellStyle name="20% - Colore 5 2" xfId="377" xr:uid="{3769C741-C823-4FF9-866A-42AB063B6DD8}"/>
    <cellStyle name="20% - Colore 6" xfId="378" xr:uid="{AAC5C773-C0EE-4A0A-83E9-068CEE868E5C}"/>
    <cellStyle name="20% - Colore 6 2" xfId="379" xr:uid="{B85DC399-4E4C-4804-A2F3-9D886A18CB92}"/>
    <cellStyle name="40 % - Aksentti1" xfId="380" xr:uid="{3ACB5408-F357-43BD-B00F-55FCACFFF9E0}"/>
    <cellStyle name="40 % - Aksentti1 2" xfId="381" xr:uid="{E6D8771A-BD53-486E-BF54-E8449CD3AACA}"/>
    <cellStyle name="40 % - Aksentti2" xfId="382" xr:uid="{4CF100B9-7D3C-4A63-8D45-6E2F891D7009}"/>
    <cellStyle name="40 % - Aksentti2 2" xfId="383" xr:uid="{939D0BF1-E2E5-4207-9853-1FC00FAFD0E3}"/>
    <cellStyle name="40 % - Aksentti3" xfId="384" xr:uid="{F9E3E9D8-44E1-40D2-B660-DC7C0E52877E}"/>
    <cellStyle name="40 % - Aksentti3 2" xfId="385" xr:uid="{C3DD8510-47DA-442C-9A90-CFF19E1D3B0C}"/>
    <cellStyle name="40 % - Aksentti4" xfId="386" xr:uid="{260EC58D-901F-4E31-A7A9-02F35934F3FA}"/>
    <cellStyle name="40 % - Aksentti4 2" xfId="387" xr:uid="{5BB673C6-4C82-48BA-9162-583D7D12638E}"/>
    <cellStyle name="40 % - Aksentti5" xfId="388" xr:uid="{8BA46B73-7F87-42B0-9BF7-72ACB5203ADC}"/>
    <cellStyle name="40 % - Aksentti5 2" xfId="389" xr:uid="{C2388961-D76D-49E8-82C6-2E537BA900C5}"/>
    <cellStyle name="40 % - Aksentti6" xfId="390" xr:uid="{23829D67-612F-4013-88E4-06EF6E520818}"/>
    <cellStyle name="40 % - Aksentti6 2" xfId="391" xr:uid="{A3367E41-1486-4687-B59F-9126682F7794}"/>
    <cellStyle name="40 % - Accent1" xfId="392" xr:uid="{3207BF2A-1594-4280-BF4E-3612987CEBCA}"/>
    <cellStyle name="40 % - Accent1 2" xfId="393" xr:uid="{3E7664F2-AA56-4A1D-9F0A-FC43D27618E2}"/>
    <cellStyle name="40 % - Accent2" xfId="394" xr:uid="{9C9CCBC8-5023-4584-9900-0F47D80F31A0}"/>
    <cellStyle name="40 % - Accent2 2" xfId="395" xr:uid="{4A43CECF-8DBF-4070-B532-05F2992C351B}"/>
    <cellStyle name="40 % - Accent3" xfId="396" xr:uid="{6DBAB2CD-446B-4FA6-B289-0A4E17DFA531}"/>
    <cellStyle name="40 % - Accent3 2" xfId="397" xr:uid="{1F5D4341-2E26-4F72-8FC1-3C1A55F41FAE}"/>
    <cellStyle name="40 % - Accent4" xfId="398" xr:uid="{09E1C044-E366-4941-A5B3-1835E94B31A2}"/>
    <cellStyle name="40 % - Accent4 2" xfId="399" xr:uid="{4D5F80A0-F86C-40E9-90EE-EA7742FB1979}"/>
    <cellStyle name="40 % - Accent5" xfId="400" xr:uid="{C5582CE3-E299-470A-9551-20A177E349FE}"/>
    <cellStyle name="40 % - Accent5 2" xfId="401" xr:uid="{FAB5FBAB-1E17-4B0E-A0F5-5B7F11EB2970}"/>
    <cellStyle name="40 % - Accent6" xfId="402" xr:uid="{79BB1FA0-07EF-4161-8B2A-E1D74941CAA9}"/>
    <cellStyle name="40 % - Accent6 2" xfId="403" xr:uid="{69FA2E5A-8BFC-4FE0-A13B-217ED1507308}"/>
    <cellStyle name="40% - Accent1" xfId="20" builtinId="31" customBuiltin="1"/>
    <cellStyle name="40% - Accent1 10" xfId="404" xr:uid="{4CA4D0C3-206E-4A33-B4E0-E5B2B6B64D68}"/>
    <cellStyle name="40% - Accent1 11" xfId="405" xr:uid="{7F0292FC-EEFE-4C97-822B-ECB1F22F6F93}"/>
    <cellStyle name="40% - Accent1 12" xfId="406" xr:uid="{191BC70D-2101-4CE8-81E9-CF17027D2F7C}"/>
    <cellStyle name="40% - Accent1 13" xfId="407" xr:uid="{8F9644ED-9D27-40D4-A81F-1147F979B560}"/>
    <cellStyle name="40% - Accent1 14" xfId="408" xr:uid="{6395224B-FB30-4B54-9F95-3F0CD42C5E0E}"/>
    <cellStyle name="40% - Accent1 15" xfId="409" xr:uid="{BEAA7F31-7BAC-4F5B-A083-B781D8F21BE8}"/>
    <cellStyle name="40% - Accent1 16" xfId="410" xr:uid="{29161A48-57F9-4C04-9BDD-F9E6A7099E71}"/>
    <cellStyle name="40% - Accent1 17" xfId="411" xr:uid="{95E07A92-97B1-480D-882C-DDAB1FA79260}"/>
    <cellStyle name="40% - Accent1 18" xfId="412" xr:uid="{AE0312A9-4BB2-424F-9A22-F577A133F8C7}"/>
    <cellStyle name="40% - Accent1 2" xfId="413" xr:uid="{BEA2852F-CD49-4E19-9197-F74918DD5712}"/>
    <cellStyle name="40% - Accent1 2 10" xfId="414" xr:uid="{87FAE216-29AB-4E83-9CE5-3F9BBCE6B04F}"/>
    <cellStyle name="40% - Accent1 2 11" xfId="415" xr:uid="{E208EDC5-52DE-443F-B08D-E36B57C300BE}"/>
    <cellStyle name="40% - Accent1 2 12" xfId="416" xr:uid="{7CB0823E-8ED5-4728-9802-8400737837DF}"/>
    <cellStyle name="40% - Accent1 2 13" xfId="417" xr:uid="{1D553698-81E8-4C27-B57D-2EBD270A02C2}"/>
    <cellStyle name="40% - Accent1 2 2" xfId="418" xr:uid="{C1D7DE51-2A97-40EF-9247-7E95EFD56E2B}"/>
    <cellStyle name="40% - Accent1 2 3" xfId="419" xr:uid="{ABC95E87-47C9-4F4E-A8AB-11D3A476DA43}"/>
    <cellStyle name="40% - Accent1 2 4" xfId="420" xr:uid="{975DB5F6-EF80-498A-A588-D3B806B85B3E}"/>
    <cellStyle name="40% - Accent1 2 5" xfId="421" xr:uid="{E9003AF7-B7CD-4724-B611-B08CA76A1A5F}"/>
    <cellStyle name="40% - Accent1 2 6" xfId="422" xr:uid="{997A8A32-2354-4AB7-AF67-2377E57CC5FB}"/>
    <cellStyle name="40% - Accent1 2 7" xfId="423" xr:uid="{5CF725F5-1600-4198-A944-5B3B74C4064D}"/>
    <cellStyle name="40% - Accent1 2 8" xfId="424" xr:uid="{DF4537B4-9F87-4A6D-AB46-44E15CB753A5}"/>
    <cellStyle name="40% - Accent1 2 9" xfId="425" xr:uid="{8F1862CC-AFD2-4F2D-8F68-534FF436436A}"/>
    <cellStyle name="40% - Accent1 3" xfId="426" xr:uid="{656057F7-08CB-4F90-B375-E834DDB3BBCA}"/>
    <cellStyle name="40% - Accent1 3 10" xfId="427" xr:uid="{410768C9-EE41-45D4-85A5-0C5332805CE3}"/>
    <cellStyle name="40% - Accent1 3 11" xfId="428" xr:uid="{39DB047C-1FF0-4D19-9311-56A0BB485EC0}"/>
    <cellStyle name="40% - Accent1 3 12" xfId="429" xr:uid="{8502B7AA-F8C6-414E-A00C-67576A2E5E9B}"/>
    <cellStyle name="40% - Accent1 3 13" xfId="430" xr:uid="{3C0FD1E5-F232-4E73-8F0C-244477B91D89}"/>
    <cellStyle name="40% - Accent1 3 2" xfId="431" xr:uid="{FE989792-F524-46FA-B29A-ED5EABF5ABEC}"/>
    <cellStyle name="40% - Accent1 3 3" xfId="432" xr:uid="{72AB7B93-253E-432B-8413-BD58D607E799}"/>
    <cellStyle name="40% - Accent1 3 4" xfId="433" xr:uid="{A74F32C5-E374-4531-9F81-EAC05EA8574B}"/>
    <cellStyle name="40% - Accent1 3 5" xfId="434" xr:uid="{5D45A7DC-4B8F-4394-AA46-6A2879B1D07D}"/>
    <cellStyle name="40% - Accent1 3 6" xfId="435" xr:uid="{46B7A086-FD91-46E4-A631-2CF8DDF06F00}"/>
    <cellStyle name="40% - Accent1 3 7" xfId="436" xr:uid="{46BD5F9D-7D81-4C42-BF33-2C7B83088A58}"/>
    <cellStyle name="40% - Accent1 3 8" xfId="437" xr:uid="{F93BAE3E-DA32-462D-9F1C-A5683128F9AC}"/>
    <cellStyle name="40% - Accent1 3 9" xfId="438" xr:uid="{111BC808-8C65-4609-9F47-FB08BC87B344}"/>
    <cellStyle name="40% - Accent1 4" xfId="439" xr:uid="{FD73EB45-9413-4547-AF38-D6A4ADBCF8F4}"/>
    <cellStyle name="40% - Accent1 5" xfId="440" xr:uid="{402D4E96-9404-4E68-A05A-8E7EC57E9ED5}"/>
    <cellStyle name="40% - Accent1 6" xfId="441" xr:uid="{531FE1E5-2EA3-49C9-A031-F5AF09B4E48A}"/>
    <cellStyle name="40% - Accent1 7" xfId="442" xr:uid="{B4659FF6-C267-40E2-A475-825D3DDD46CB}"/>
    <cellStyle name="40% - Accent1 8" xfId="443" xr:uid="{60E28AF6-6EB9-4A67-A537-659684ABCA35}"/>
    <cellStyle name="40% - Accent1 9" xfId="444" xr:uid="{E9A84976-8861-4F7C-8E97-BD6DF27CB371}"/>
    <cellStyle name="40% - Accent2" xfId="23" builtinId="35" customBuiltin="1"/>
    <cellStyle name="40% - Accent2 10" xfId="445" xr:uid="{08AA7CDA-8513-4E48-BB23-CE682B7A6F4B}"/>
    <cellStyle name="40% - Accent2 11" xfId="446" xr:uid="{B5B25FF7-F92C-4B14-8FFB-2F86B0C107DF}"/>
    <cellStyle name="40% - Accent2 12" xfId="447" xr:uid="{FFF25DD9-D498-4019-85D5-BEB66601F99D}"/>
    <cellStyle name="40% - Accent2 13" xfId="448" xr:uid="{E3E71602-3A3B-4C19-A559-6D1310B5CA6B}"/>
    <cellStyle name="40% - Accent2 14" xfId="449" xr:uid="{BCACAFEE-1D00-4C0B-B8CE-7048308BCFAD}"/>
    <cellStyle name="40% - Accent2 15" xfId="450" xr:uid="{9E9E7138-80CE-4778-803D-E9952E0D1A60}"/>
    <cellStyle name="40% - Accent2 16" xfId="451" xr:uid="{AB6D9B46-E1A0-4D34-8D3B-52173110D867}"/>
    <cellStyle name="40% - Accent2 17" xfId="452" xr:uid="{A9C8E3E6-297F-41C4-BF67-F83EADBD5326}"/>
    <cellStyle name="40% - Accent2 18" xfId="453" xr:uid="{440615E0-4632-4AEA-B893-A4B14D8D4523}"/>
    <cellStyle name="40% - Accent2 2" xfId="454" xr:uid="{87FCD2F1-F1DF-4DD9-B5D2-FA57C44D967C}"/>
    <cellStyle name="40% - Accent2 2 10" xfId="455" xr:uid="{186B5477-35E3-45DF-9017-1A8161F0A6D9}"/>
    <cellStyle name="40% - Accent2 2 11" xfId="456" xr:uid="{FB0BF7C9-287F-440A-9119-92AE54E71603}"/>
    <cellStyle name="40% - Accent2 2 12" xfId="457" xr:uid="{5243A86B-CA31-4131-AB90-474A4A47A51A}"/>
    <cellStyle name="40% - Accent2 2 13" xfId="458" xr:uid="{43A2B446-AE34-48C5-BCF0-9C86D49FA624}"/>
    <cellStyle name="40% - Accent2 2 2" xfId="459" xr:uid="{3C6F1362-92D3-4474-99D5-53571D6BE4EF}"/>
    <cellStyle name="40% - Accent2 2 3" xfId="460" xr:uid="{0B198599-2DC2-4615-B33E-149EDC932C30}"/>
    <cellStyle name="40% - Accent2 2 4" xfId="461" xr:uid="{882E0E1B-1E3D-404F-B03F-877DC1FE3E29}"/>
    <cellStyle name="40% - Accent2 2 5" xfId="462" xr:uid="{9F6A6C6F-0922-4133-8927-399A8B0A03FB}"/>
    <cellStyle name="40% - Accent2 2 6" xfId="463" xr:uid="{538932F4-BC8E-4AB2-A8FE-CCCCFDA43CC8}"/>
    <cellStyle name="40% - Accent2 2 7" xfId="464" xr:uid="{E7111B70-E451-45E9-85E0-F0E573F50D71}"/>
    <cellStyle name="40% - Accent2 2 8" xfId="465" xr:uid="{55CED61E-315B-4FE2-BD1F-C4DA37904B93}"/>
    <cellStyle name="40% - Accent2 2 9" xfId="466" xr:uid="{789AFEA9-3D27-4A49-9F6F-1195407F228A}"/>
    <cellStyle name="40% - Accent2 3" xfId="467" xr:uid="{2C573D21-EF07-4EA6-A119-D1FA56FC4F08}"/>
    <cellStyle name="40% - Accent2 3 10" xfId="468" xr:uid="{12954D66-EB82-426E-83D3-4525B37C6205}"/>
    <cellStyle name="40% - Accent2 3 11" xfId="469" xr:uid="{B374B5AB-8118-4060-AB78-F25B76BAA5B8}"/>
    <cellStyle name="40% - Accent2 3 12" xfId="470" xr:uid="{5B537A53-B29E-44A6-B069-21F96977A54B}"/>
    <cellStyle name="40% - Accent2 3 13" xfId="471" xr:uid="{75AC3E3B-DCEE-4C8C-A7C7-35E9E31489D1}"/>
    <cellStyle name="40% - Accent2 3 2" xfId="472" xr:uid="{463301EF-CE32-4938-ADE1-6D83F1052ACE}"/>
    <cellStyle name="40% - Accent2 3 3" xfId="473" xr:uid="{03F51CF8-2557-4411-BB57-B27550B5F922}"/>
    <cellStyle name="40% - Accent2 3 4" xfId="474" xr:uid="{D8CE046F-6879-4AFB-AC0E-49719391E9CD}"/>
    <cellStyle name="40% - Accent2 3 5" xfId="475" xr:uid="{27F6F6EC-DA2A-4974-B406-DAF2809792F0}"/>
    <cellStyle name="40% - Accent2 3 6" xfId="476" xr:uid="{71804DC5-F83F-41D0-B9D2-A604448117F1}"/>
    <cellStyle name="40% - Accent2 3 7" xfId="477" xr:uid="{D7DF9CC5-B8D4-4054-B7A7-9EC1F724D90F}"/>
    <cellStyle name="40% - Accent2 3 8" xfId="478" xr:uid="{6231E4FF-9D9A-4769-AB51-3BDD7F9943CB}"/>
    <cellStyle name="40% - Accent2 3 9" xfId="479" xr:uid="{0C633A94-60C4-4530-BD16-7BC555B28136}"/>
    <cellStyle name="40% - Accent2 4" xfId="480" xr:uid="{1CD86F88-D5E5-4552-9B52-1BCF406EEB70}"/>
    <cellStyle name="40% - Accent2 5" xfId="481" xr:uid="{1505E311-471A-47EB-8B3F-BD61872A1C5B}"/>
    <cellStyle name="40% - Accent2 6" xfId="482" xr:uid="{47B33F21-E2C7-4CC2-AC03-DE6F5AC1A905}"/>
    <cellStyle name="40% - Accent2 7" xfId="483" xr:uid="{B151DBD2-F045-45A5-9DE0-56F1CFA033A6}"/>
    <cellStyle name="40% - Accent2 8" xfId="484" xr:uid="{2860B6CF-01C4-47A0-8A18-91955D591795}"/>
    <cellStyle name="40% - Accent2 9" xfId="485" xr:uid="{5BBF0188-ECDF-4C14-ABA7-6A2E40F3B1ED}"/>
    <cellStyle name="40% - Accent3" xfId="26" builtinId="39" customBuiltin="1"/>
    <cellStyle name="40% - Accent3 10" xfId="486" xr:uid="{BBC1A6CA-F061-4874-A5F2-D6542F35E28A}"/>
    <cellStyle name="40% - Accent3 11" xfId="487" xr:uid="{F73BFB7C-CF4B-41FD-B4A3-BDD284E75674}"/>
    <cellStyle name="40% - Accent3 12" xfId="488" xr:uid="{65A1B01F-1ADC-4249-97B5-281D805D1F0C}"/>
    <cellStyle name="40% - Accent3 13" xfId="489" xr:uid="{3EB73832-C275-4D4E-8485-96C9A1029775}"/>
    <cellStyle name="40% - Accent3 14" xfId="490" xr:uid="{F85C9C23-3652-4F69-A466-28EA9A0C6EB4}"/>
    <cellStyle name="40% - Accent3 15" xfId="491" xr:uid="{D2B1A23D-91A6-4D35-9B83-C599DA7FDF6C}"/>
    <cellStyle name="40% - Accent3 16" xfId="492" xr:uid="{1D3B7BBD-24ED-4B16-937B-45CAF3EA1B90}"/>
    <cellStyle name="40% - Accent3 17" xfId="493" xr:uid="{1694E7F2-584F-444D-9520-FB911F23BF44}"/>
    <cellStyle name="40% - Accent3 18" xfId="494" xr:uid="{475C5EA3-A5B8-4C30-8013-4E3CE2577BF6}"/>
    <cellStyle name="40% - Accent3 2" xfId="495" xr:uid="{171338BA-39F7-44F8-8B40-E56CE822A9BC}"/>
    <cellStyle name="40% - Accent3 2 10" xfId="496" xr:uid="{3150C618-0486-4114-BF3A-C954561C309E}"/>
    <cellStyle name="40% - Accent3 2 11" xfId="497" xr:uid="{C82144AE-C578-4968-A85C-128204D7A427}"/>
    <cellStyle name="40% - Accent3 2 12" xfId="498" xr:uid="{84396ECA-E750-45E2-9D1A-D5BB35D3AE00}"/>
    <cellStyle name="40% - Accent3 2 13" xfId="499" xr:uid="{416BE989-ED90-41FD-B37A-950996DF374C}"/>
    <cellStyle name="40% - Accent3 2 2" xfId="500" xr:uid="{AC4FBA65-5F6E-4F4A-AE94-C931B4A2AA19}"/>
    <cellStyle name="40% - Accent3 2 3" xfId="501" xr:uid="{FCA885AF-5ED3-4970-8B36-E40B0C011E4B}"/>
    <cellStyle name="40% - Accent3 2 4" xfId="502" xr:uid="{15C0B554-2A3B-4DA0-AB43-4AA2D36BF14A}"/>
    <cellStyle name="40% - Accent3 2 5" xfId="503" xr:uid="{D870DD90-CAAB-404D-A0E7-18B6F02E51E7}"/>
    <cellStyle name="40% - Accent3 2 6" xfId="504" xr:uid="{DDE78ABB-79CC-4D08-A12B-09AD3F717546}"/>
    <cellStyle name="40% - Accent3 2 7" xfId="505" xr:uid="{82AECB2A-1E06-4E27-82AB-F0F6EE880531}"/>
    <cellStyle name="40% - Accent3 2 8" xfId="506" xr:uid="{BA3F41E6-8DFE-4EBF-AFDD-99F952287E13}"/>
    <cellStyle name="40% - Accent3 2 9" xfId="507" xr:uid="{D9988277-ED03-4ABC-AFE4-FA33F6E24404}"/>
    <cellStyle name="40% - Accent3 3" xfId="508" xr:uid="{CB358464-F549-4A81-BFAE-20FA29EDE10B}"/>
    <cellStyle name="40% - Accent3 3 10" xfId="509" xr:uid="{D621117A-A4DB-4F06-AA79-C0D51F45630F}"/>
    <cellStyle name="40% - Accent3 3 11" xfId="510" xr:uid="{05AFE048-B105-4DA7-9A15-453A9580D1F3}"/>
    <cellStyle name="40% - Accent3 3 12" xfId="511" xr:uid="{C0CBCAAB-4785-4B48-AA1D-5A01B6AE60B2}"/>
    <cellStyle name="40% - Accent3 3 13" xfId="512" xr:uid="{2C64E24A-A4DD-4FBE-8B9A-1A2700A1A39F}"/>
    <cellStyle name="40% - Accent3 3 2" xfId="513" xr:uid="{7B37746E-3273-4E8B-A898-AC6B2DCA0FB9}"/>
    <cellStyle name="40% - Accent3 3 3" xfId="514" xr:uid="{028BFDDD-A3F1-47F5-B68E-8F30ACCD82AC}"/>
    <cellStyle name="40% - Accent3 3 4" xfId="515" xr:uid="{748424A4-5F3B-4518-ADE8-B74D48B3428E}"/>
    <cellStyle name="40% - Accent3 3 5" xfId="516" xr:uid="{36A6B0E9-F90E-4A1F-A490-8666C665742E}"/>
    <cellStyle name="40% - Accent3 3 6" xfId="517" xr:uid="{BEC7EDAB-719B-4A81-9022-E4908D698B88}"/>
    <cellStyle name="40% - Accent3 3 7" xfId="518" xr:uid="{79B909A4-4109-48B2-8F53-B220B3C350EE}"/>
    <cellStyle name="40% - Accent3 3 8" xfId="519" xr:uid="{3F583C1C-C6D7-4FCC-A344-EBB85412360F}"/>
    <cellStyle name="40% - Accent3 3 9" xfId="520" xr:uid="{D7E3AB0A-AAA9-40D9-943D-E04C606214F4}"/>
    <cellStyle name="40% - Accent3 4" xfId="521" xr:uid="{2BF37563-1563-4E85-AD4A-ACE26A1EDC38}"/>
    <cellStyle name="40% - Accent3 5" xfId="522" xr:uid="{E0B0F2DC-D2CE-4B33-9B28-9DB9A9A41CC9}"/>
    <cellStyle name="40% - Accent3 6" xfId="523" xr:uid="{3122859D-E0D9-4491-A26D-3D1AE186050C}"/>
    <cellStyle name="40% - Accent3 7" xfId="524" xr:uid="{F0069894-F3F2-4AF6-A371-501875E3C3DC}"/>
    <cellStyle name="40% - Accent3 8" xfId="525" xr:uid="{DBDB9DA5-F974-40B4-8BFD-B92E9AE711FC}"/>
    <cellStyle name="40% - Accent3 9" xfId="526" xr:uid="{20F0DC22-4BDF-4FF3-B369-6C04DA18BA19}"/>
    <cellStyle name="40% - Accent4" xfId="29" builtinId="43" customBuiltin="1"/>
    <cellStyle name="40% - Accent4 10" xfId="527" xr:uid="{CCB991E3-09F3-4700-8188-BACDF4F999B3}"/>
    <cellStyle name="40% - Accent4 11" xfId="528" xr:uid="{69C923FB-9DF4-4209-B6CE-A7D3F0BFFE25}"/>
    <cellStyle name="40% - Accent4 12" xfId="529" xr:uid="{5B84005D-B241-4D9E-B5BF-2873F903C25E}"/>
    <cellStyle name="40% - Accent4 13" xfId="530" xr:uid="{49D123F3-6F0E-42B2-8CC6-3FF4A32D153B}"/>
    <cellStyle name="40% - Accent4 14" xfId="531" xr:uid="{2D871235-1E29-4300-8C4D-8A49AB872806}"/>
    <cellStyle name="40% - Accent4 15" xfId="532" xr:uid="{F9E655D7-87BC-4F40-919F-D2D7B42164D6}"/>
    <cellStyle name="40% - Accent4 16" xfId="533" xr:uid="{14AB9FD2-59F1-4C87-BEDA-9CDC5FE08574}"/>
    <cellStyle name="40% - Accent4 17" xfId="534" xr:uid="{75CD93A7-7B5D-4CD3-80DE-8F4E72353458}"/>
    <cellStyle name="40% - Accent4 18" xfId="535" xr:uid="{2A66D3B4-AA65-4E00-B8A9-647A9DBA0152}"/>
    <cellStyle name="40% - Accent4 2" xfId="536" xr:uid="{4E9B5AFA-E868-4226-AE6E-5F41DA670697}"/>
    <cellStyle name="40% - Accent4 2 10" xfId="537" xr:uid="{D5FBBDF4-F959-4B1A-A151-12AA6B4AA4BE}"/>
    <cellStyle name="40% - Accent4 2 11" xfId="538" xr:uid="{55AA7EEF-EEB8-4391-9770-A9F9F9CF2CC1}"/>
    <cellStyle name="40% - Accent4 2 12" xfId="539" xr:uid="{E762946B-4B26-43FD-988D-CD12C6667B9D}"/>
    <cellStyle name="40% - Accent4 2 13" xfId="540" xr:uid="{46EC2E59-27D1-4830-8E7E-1EAFDB0A3CDE}"/>
    <cellStyle name="40% - Accent4 2 2" xfId="541" xr:uid="{4E9081D5-DF2B-4DBF-9D04-DBA006A761B9}"/>
    <cellStyle name="40% - Accent4 2 3" xfId="542" xr:uid="{4A2AC384-0C8B-47A0-A4E0-0EF3DFB8292C}"/>
    <cellStyle name="40% - Accent4 2 4" xfId="543" xr:uid="{AB99B16A-63F0-48C7-B860-5AAFE6963BF6}"/>
    <cellStyle name="40% - Accent4 2 5" xfId="544" xr:uid="{D2B76108-A629-4847-B0B4-498D425657C8}"/>
    <cellStyle name="40% - Accent4 2 6" xfId="545" xr:uid="{8FA45F28-EEFB-46FF-AB60-2E9495612592}"/>
    <cellStyle name="40% - Accent4 2 7" xfId="546" xr:uid="{3E727EA0-428F-4867-AD4F-0EF03C0CAA5B}"/>
    <cellStyle name="40% - Accent4 2 8" xfId="547" xr:uid="{E72CC118-8F13-4850-A9EF-F1504C5901F5}"/>
    <cellStyle name="40% - Accent4 2 9" xfId="548" xr:uid="{E85238E3-D1C3-46FD-8AF5-3DF8128FC9B5}"/>
    <cellStyle name="40% - Accent4 3" xfId="549" xr:uid="{993CF0CE-2877-49C1-BFA4-5D3506885F73}"/>
    <cellStyle name="40% - Accent4 3 10" xfId="550" xr:uid="{C93747E6-CEFB-4247-ABC8-38809CDB73ED}"/>
    <cellStyle name="40% - Accent4 3 11" xfId="551" xr:uid="{76A01348-8DBB-41C4-9C65-666172FAF4B8}"/>
    <cellStyle name="40% - Accent4 3 12" xfId="552" xr:uid="{7ED3B93F-F9E5-42FB-80EF-448AC0122605}"/>
    <cellStyle name="40% - Accent4 3 13" xfId="553" xr:uid="{48778BF9-0E0D-4F2C-B825-97605118BE3B}"/>
    <cellStyle name="40% - Accent4 3 2" xfId="554" xr:uid="{38AE60FB-FDFF-44EF-9F04-0E8EB74B5B76}"/>
    <cellStyle name="40% - Accent4 3 3" xfId="555" xr:uid="{AEE0AA65-3535-4CB5-8D1D-EA4322AC2822}"/>
    <cellStyle name="40% - Accent4 3 4" xfId="556" xr:uid="{B97AF1E7-FD36-4E79-90BD-F180AC90F735}"/>
    <cellStyle name="40% - Accent4 3 5" xfId="557" xr:uid="{E54C8D8E-6587-4646-9DC2-180C1B61A16B}"/>
    <cellStyle name="40% - Accent4 3 6" xfId="558" xr:uid="{F2FF21D2-3164-4B55-BC9D-F0C26E4F1CFC}"/>
    <cellStyle name="40% - Accent4 3 7" xfId="559" xr:uid="{0E4A5C3F-753C-4568-8915-6383C09500F8}"/>
    <cellStyle name="40% - Accent4 3 8" xfId="560" xr:uid="{689A371B-8157-4F71-88D0-6F1D9B807916}"/>
    <cellStyle name="40% - Accent4 3 9" xfId="561" xr:uid="{A47A1728-5B17-49EF-B671-F9D6F6E04E89}"/>
    <cellStyle name="40% - Accent4 4" xfId="562" xr:uid="{F8E6BBCC-FBD2-4093-8B32-67F2453F518A}"/>
    <cellStyle name="40% - Accent4 5" xfId="563" xr:uid="{F2463638-1AED-472F-AEAB-5F4D89FF1E9F}"/>
    <cellStyle name="40% - Accent4 6" xfId="564" xr:uid="{697D7B30-3109-4F50-9C4F-5C7AB8F7CD5C}"/>
    <cellStyle name="40% - Accent4 7" xfId="565" xr:uid="{E8FE13A8-55B5-4688-B9CF-4AECFCC73068}"/>
    <cellStyle name="40% - Accent4 8" xfId="566" xr:uid="{98A677C1-9C22-421D-B1B9-D7326FE07AEB}"/>
    <cellStyle name="40% - Accent4 9" xfId="567" xr:uid="{103CF643-1FED-4EC8-9204-669BF3EA29B8}"/>
    <cellStyle name="40% - Accent5" xfId="32" builtinId="47" customBuiltin="1"/>
    <cellStyle name="40% - Accent5 10" xfId="568" xr:uid="{EAF98EF5-6F93-474A-841E-A188717BD3A8}"/>
    <cellStyle name="40% - Accent5 11" xfId="569" xr:uid="{0F32E24E-3C71-4756-960E-9C1690804A1A}"/>
    <cellStyle name="40% - Accent5 12" xfId="570" xr:uid="{A380EF39-5665-4BB5-B65C-E3B9D14EF8F2}"/>
    <cellStyle name="40% - Accent5 13" xfId="571" xr:uid="{1BCF1C1F-CD99-473F-96CA-B70F23AC7741}"/>
    <cellStyle name="40% - Accent5 14" xfId="572" xr:uid="{AF6088E8-82EE-48B8-86D3-ACEB33656C38}"/>
    <cellStyle name="40% - Accent5 15" xfId="573" xr:uid="{05E3EF5D-D1F9-40FB-925B-78D177A84DDA}"/>
    <cellStyle name="40% - Accent5 16" xfId="574" xr:uid="{F19F78F0-732D-487D-BEFA-029FC7B835DE}"/>
    <cellStyle name="40% - Accent5 17" xfId="575" xr:uid="{42798889-99C9-4302-AB0C-E142E47E2171}"/>
    <cellStyle name="40% - Accent5 18" xfId="576" xr:uid="{8A79D0FC-AD92-446D-A94B-DDAA5403E0CE}"/>
    <cellStyle name="40% - Accent5 2" xfId="577" xr:uid="{7960D3A8-6335-47FD-9015-ABBDEC504F70}"/>
    <cellStyle name="40% - Accent5 2 10" xfId="578" xr:uid="{51B3C545-6728-4830-95CF-D885A7F202C1}"/>
    <cellStyle name="40% - Accent5 2 11" xfId="579" xr:uid="{C875216D-A54A-4885-BC1F-AFEBD7969E83}"/>
    <cellStyle name="40% - Accent5 2 12" xfId="580" xr:uid="{D20DE726-EBC2-4D74-BE1E-275E3391D544}"/>
    <cellStyle name="40% - Accent5 2 13" xfId="581" xr:uid="{2F731ECA-8C74-41A3-AE17-03E20FAAA38B}"/>
    <cellStyle name="40% - Accent5 2 2" xfId="582" xr:uid="{526B7E77-DA8E-4F68-9B80-EBE5EDA90A99}"/>
    <cellStyle name="40% - Accent5 2 3" xfId="583" xr:uid="{49AAEB00-941A-434E-A425-581280831B22}"/>
    <cellStyle name="40% - Accent5 2 4" xfId="584" xr:uid="{185235AC-4539-4998-9B47-49115FD53985}"/>
    <cellStyle name="40% - Accent5 2 5" xfId="585" xr:uid="{482E8D87-6803-4CBE-8B40-28D1DDC51C4A}"/>
    <cellStyle name="40% - Accent5 2 6" xfId="586" xr:uid="{C4AB1BFB-474C-4144-A88C-E3A1B8858247}"/>
    <cellStyle name="40% - Accent5 2 7" xfId="587" xr:uid="{36FAD334-CCAD-48BF-AD06-E02F8053D7E4}"/>
    <cellStyle name="40% - Accent5 2 8" xfId="588" xr:uid="{9EFC83B5-5165-4AAB-9AD7-6B52A1AEE00E}"/>
    <cellStyle name="40% - Accent5 2 9" xfId="589" xr:uid="{6EA16796-3F5F-459F-A4E1-E994E2110495}"/>
    <cellStyle name="40% - Accent5 3" xfId="590" xr:uid="{04479D8D-9947-47E7-9709-775949D44FF0}"/>
    <cellStyle name="40% - Accent5 3 10" xfId="591" xr:uid="{F3611061-84B5-4933-B075-CEDC80D86120}"/>
    <cellStyle name="40% - Accent5 3 11" xfId="592" xr:uid="{D588F550-AE85-4E0E-A49F-96219526B43B}"/>
    <cellStyle name="40% - Accent5 3 12" xfId="593" xr:uid="{A79F3E58-A07B-490C-BD5A-06292311519B}"/>
    <cellStyle name="40% - Accent5 3 13" xfId="594" xr:uid="{D5937058-9B7E-4400-821B-5657779DA431}"/>
    <cellStyle name="40% - Accent5 3 2" xfId="595" xr:uid="{E38544A1-AD3E-4F33-A3E7-32BD2C28EB5B}"/>
    <cellStyle name="40% - Accent5 3 3" xfId="596" xr:uid="{3EE3A122-03C7-4CB1-8858-CB224347B567}"/>
    <cellStyle name="40% - Accent5 3 4" xfId="597" xr:uid="{93DCE740-3E42-4AB9-9BB9-941C68A16127}"/>
    <cellStyle name="40% - Accent5 3 5" xfId="598" xr:uid="{CDE43E87-49A8-43DF-9CB6-B69CCA335121}"/>
    <cellStyle name="40% - Accent5 3 6" xfId="599" xr:uid="{2CF9C3B4-1CBE-43E7-BE94-0A7FC41BD783}"/>
    <cellStyle name="40% - Accent5 3 7" xfId="600" xr:uid="{393100C0-0867-4AD4-8924-2494DFE911AC}"/>
    <cellStyle name="40% - Accent5 3 8" xfId="601" xr:uid="{7AF4EFD5-89C6-4035-805F-7E0BE68DB9F7}"/>
    <cellStyle name="40% - Accent5 3 9" xfId="602" xr:uid="{E73778EF-3C71-481E-BF42-C26825196644}"/>
    <cellStyle name="40% - Accent5 4" xfId="603" xr:uid="{DECFEBD0-3373-4204-A746-518BF13DF896}"/>
    <cellStyle name="40% - Accent5 5" xfId="604" xr:uid="{5D9C2A9C-27A0-4ED6-9480-966B0C3AED36}"/>
    <cellStyle name="40% - Accent5 6" xfId="605" xr:uid="{48DCD2EF-75B6-4ED4-B64C-B5D2479FEC5B}"/>
    <cellStyle name="40% - Accent5 7" xfId="606" xr:uid="{B63574F3-EE83-4504-B807-34A50247E947}"/>
    <cellStyle name="40% - Accent5 8" xfId="607" xr:uid="{9379D85B-3758-4A46-BE85-7FF6C1999EA5}"/>
    <cellStyle name="40% - Accent5 9" xfId="608" xr:uid="{9A6CEAB3-E697-400B-8096-313D03981E12}"/>
    <cellStyle name="40% - Accent6" xfId="35" builtinId="51" customBuiltin="1"/>
    <cellStyle name="40% - Accent6 10" xfId="609" xr:uid="{C45906FC-52FB-498B-AA48-899AFB836FF2}"/>
    <cellStyle name="40% - Accent6 11" xfId="610" xr:uid="{5876DB32-FE69-4042-97CA-81C48D7B7411}"/>
    <cellStyle name="40% - Accent6 12" xfId="611" xr:uid="{6DA8478B-7D73-4B8A-BC3A-FBFBE9195A9D}"/>
    <cellStyle name="40% - Accent6 13" xfId="612" xr:uid="{BE07690C-D58F-4B3F-8E89-BB11406D6251}"/>
    <cellStyle name="40% - Accent6 14" xfId="613" xr:uid="{1EC5EDC9-5E36-4B79-AD97-47659786A256}"/>
    <cellStyle name="40% - Accent6 15" xfId="614" xr:uid="{878F75B8-28BC-4AAB-B887-3AEE9BCB5A0B}"/>
    <cellStyle name="40% - Accent6 16" xfId="615" xr:uid="{203EE20D-8F40-40E0-94A3-A6AF83BFCEA0}"/>
    <cellStyle name="40% - Accent6 17" xfId="616" xr:uid="{264CA167-EE0C-472A-962A-EBD3FBC86F37}"/>
    <cellStyle name="40% - Accent6 18" xfId="617" xr:uid="{6096AC7A-946A-4DD6-AD4C-9B0E77667003}"/>
    <cellStyle name="40% - Accent6 2" xfId="618" xr:uid="{1226B7F5-74C9-4E9E-A818-08C5C08D5A36}"/>
    <cellStyle name="40% - Accent6 2 10" xfId="619" xr:uid="{5C4A12E4-4464-416F-88B0-B52A4D2747AD}"/>
    <cellStyle name="40% - Accent6 2 11" xfId="620" xr:uid="{96DAA8B5-003D-40BA-AFB4-AE780344FA0B}"/>
    <cellStyle name="40% - Accent6 2 12" xfId="621" xr:uid="{8EA55013-CCC8-4DC0-9DCF-F7BB1CC55598}"/>
    <cellStyle name="40% - Accent6 2 13" xfId="622" xr:uid="{7553E637-6ADF-42B9-A123-2C2603397BEA}"/>
    <cellStyle name="40% - Accent6 2 2" xfId="623" xr:uid="{D860CFA6-A4B0-437E-B602-EF148B024AE4}"/>
    <cellStyle name="40% - Accent6 2 3" xfId="624" xr:uid="{354C8715-915A-4559-887E-8143988A10E1}"/>
    <cellStyle name="40% - Accent6 2 4" xfId="625" xr:uid="{E3DAC4D5-51ED-47EE-8F30-4CE54F0E8CD9}"/>
    <cellStyle name="40% - Accent6 2 5" xfId="626" xr:uid="{F13FDD0F-33B7-48FF-A062-BEA56EC2B362}"/>
    <cellStyle name="40% - Accent6 2 6" xfId="627" xr:uid="{BC946AD4-AFD5-4641-850A-E44D18054210}"/>
    <cellStyle name="40% - Accent6 2 7" xfId="628" xr:uid="{3FBA6055-C37E-4C37-B336-A40A8BED2FE2}"/>
    <cellStyle name="40% - Accent6 2 8" xfId="629" xr:uid="{5D6CF949-1716-4DE9-8DE6-D2D2B3BBB3F9}"/>
    <cellStyle name="40% - Accent6 2 9" xfId="630" xr:uid="{211A2592-EF92-420D-8D1C-62F67BBEFB26}"/>
    <cellStyle name="40% - Accent6 3" xfId="631" xr:uid="{8536F6E6-9F60-48D3-A377-5B14E1D83A70}"/>
    <cellStyle name="40% - Accent6 3 10" xfId="632" xr:uid="{376898BA-FF51-49D8-975D-5F8AC11CFE3B}"/>
    <cellStyle name="40% - Accent6 3 11" xfId="633" xr:uid="{B5FDD78C-59C4-4B14-899C-E903C98CC3A7}"/>
    <cellStyle name="40% - Accent6 3 12" xfId="634" xr:uid="{2C24C31E-5BB7-4D41-9095-2CB74B688B0C}"/>
    <cellStyle name="40% - Accent6 3 13" xfId="635" xr:uid="{CCF6422A-A74C-4E80-AB14-8CA693997DC0}"/>
    <cellStyle name="40% - Accent6 3 2" xfId="636" xr:uid="{0B78AF3C-DEB0-4AE3-BB49-A552ABC23FA9}"/>
    <cellStyle name="40% - Accent6 3 3" xfId="637" xr:uid="{D12F0F08-7649-4948-8AE0-084B3753D131}"/>
    <cellStyle name="40% - Accent6 3 4" xfId="638" xr:uid="{6C5956C2-C15E-419C-9EE1-1B900AE8ACF7}"/>
    <cellStyle name="40% - Accent6 3 5" xfId="639" xr:uid="{CCB0FD43-8958-4915-A612-C242BD97A3A1}"/>
    <cellStyle name="40% - Accent6 3 6" xfId="640" xr:uid="{00C2D1BF-46F1-4C84-8510-DCB774B86F54}"/>
    <cellStyle name="40% - Accent6 3 7" xfId="641" xr:uid="{07793926-3FD2-4858-8E6E-003399FCB8CE}"/>
    <cellStyle name="40% - Accent6 3 8" xfId="642" xr:uid="{FBBE6110-F5A1-4F08-8C9D-5A835E0371B1}"/>
    <cellStyle name="40% - Accent6 3 9" xfId="643" xr:uid="{25114725-6B57-4F19-BADB-5E30440CFEAA}"/>
    <cellStyle name="40% - Accent6 4" xfId="644" xr:uid="{C66A64E1-9968-4910-AB87-2963EC46F8C4}"/>
    <cellStyle name="40% - Accent6 5" xfId="645" xr:uid="{9170BD3B-0FAB-4F25-9F03-2218CB1EE536}"/>
    <cellStyle name="40% - Accent6 6" xfId="646" xr:uid="{E41D4FB5-8D29-496F-BC15-28B4F9F6007E}"/>
    <cellStyle name="40% - Accent6 7" xfId="647" xr:uid="{39A418A4-BDE7-431E-9607-8204D4854DB9}"/>
    <cellStyle name="40% - Accent6 8" xfId="648" xr:uid="{C68DA468-A2C1-40F2-833A-E110CA1AF1C5}"/>
    <cellStyle name="40% - Accent6 9" xfId="649" xr:uid="{FBEF41DA-E5C7-41A9-B8EA-AAB822AA0D5A}"/>
    <cellStyle name="40% - Akzent1" xfId="650" xr:uid="{B6DC4982-C577-47BA-81B9-EBC7016C5BD8}"/>
    <cellStyle name="40% - Akzent2" xfId="651" xr:uid="{13A60325-7FF1-4D51-ABC3-65A3A01561A1}"/>
    <cellStyle name="40% - Akzent3" xfId="652" xr:uid="{08926DC4-EAE1-4CA9-B099-3900D9BE51B9}"/>
    <cellStyle name="40% - Akzent4" xfId="653" xr:uid="{59676A4B-9048-49C4-8DE3-4ABCEEA84352}"/>
    <cellStyle name="40% - Akzent5" xfId="654" xr:uid="{3AAA56DC-5466-45A5-8C12-C4253098AAB6}"/>
    <cellStyle name="40% - Akzent6" xfId="655" xr:uid="{0696D226-931C-4A12-876D-5311A41EE6DE}"/>
    <cellStyle name="40% - Colore 1" xfId="656" xr:uid="{E25DABD8-DA40-46FB-BBA3-C2DDFD272ECF}"/>
    <cellStyle name="40% - Colore 1 2" xfId="657" xr:uid="{470BA982-F0FA-4AF6-8FCB-59FD746A214A}"/>
    <cellStyle name="40% - Colore 2" xfId="658" xr:uid="{1E783D42-B238-4B9A-B09E-2DCEB591262A}"/>
    <cellStyle name="40% - Colore 2 2" xfId="659" xr:uid="{F76838C2-A173-443D-AA6A-7D09ED8885A6}"/>
    <cellStyle name="40% - Colore 3" xfId="660" xr:uid="{5693ECC5-3152-4BB0-951D-464EA8B53E6C}"/>
    <cellStyle name="40% - Colore 3 2" xfId="661" xr:uid="{FE9C4EDA-25CB-485C-8A16-D76106E9684A}"/>
    <cellStyle name="40% - Colore 4" xfId="662" xr:uid="{92ED3697-F69F-4614-97DB-E5C56A0502A4}"/>
    <cellStyle name="40% - Colore 4 2" xfId="663" xr:uid="{86D764EB-C62A-4184-8513-A84E145DC67A}"/>
    <cellStyle name="40% - Colore 5" xfId="664" xr:uid="{FD61AEAA-9769-4605-AF47-257C1A242408}"/>
    <cellStyle name="40% - Colore 5 2" xfId="665" xr:uid="{06BA72E6-2E17-4615-BD63-EB32CF9598A0}"/>
    <cellStyle name="40% - Colore 6" xfId="666" xr:uid="{B6348071-883A-41E4-A4A8-BBCFD3B30880}"/>
    <cellStyle name="40% - Colore 6 2" xfId="667" xr:uid="{D461FC2B-4159-4B09-BF37-42417615D45B}"/>
    <cellStyle name="60 % - Aksentti1" xfId="668" xr:uid="{F21C3546-3945-4947-A66C-9EAC56DC1528}"/>
    <cellStyle name="60 % - Aksentti2" xfId="669" xr:uid="{95195CCF-C20A-44C3-801E-CA4BDACA94B2}"/>
    <cellStyle name="60 % - Aksentti3" xfId="670" xr:uid="{6945D6E8-764A-4818-93CD-05C6F0A9156B}"/>
    <cellStyle name="60 % - Aksentti4" xfId="671" xr:uid="{42C32C7C-E812-4717-97F2-9D83817A81E1}"/>
    <cellStyle name="60 % - Aksentti5" xfId="672" xr:uid="{2638C4C9-C3A6-47BD-8434-F22F0FC2482D}"/>
    <cellStyle name="60 % - Aksentti6" xfId="673" xr:uid="{06AED7DF-EB20-44DD-BFC7-DEABC46CCF8D}"/>
    <cellStyle name="60 % - Accent1" xfId="674" xr:uid="{D2214B6C-E893-4AE9-A608-1B398306F501}"/>
    <cellStyle name="60 % - Accent2" xfId="675" xr:uid="{11DD8B02-BC22-4EDF-8206-107A0CE43A73}"/>
    <cellStyle name="60 % - Accent3" xfId="676" xr:uid="{C0C1A137-BA13-44FA-8DE5-D153D16F0D54}"/>
    <cellStyle name="60 % - Accent4" xfId="677" xr:uid="{8F0923F5-88ED-4D5B-BA5D-E5B6405F0CE7}"/>
    <cellStyle name="60 % - Accent5" xfId="678" xr:uid="{4857E1E1-7953-43F4-927E-AD51852E6DB7}"/>
    <cellStyle name="60 % - Accent6" xfId="679" xr:uid="{37175BBD-EF5A-4AE9-9DCC-00467063C435}"/>
    <cellStyle name="60% - Accent1 10" xfId="680" xr:uid="{644E9DC6-CA7F-4C43-BF5B-04F80857FC8C}"/>
    <cellStyle name="60% - Accent1 11" xfId="681" xr:uid="{F09FB672-CD79-42E6-96C7-67A181DC0876}"/>
    <cellStyle name="60% - Accent1 12" xfId="682" xr:uid="{843DA03D-DD72-4BBF-AD73-06FF24D528B5}"/>
    <cellStyle name="60% - Accent1 13" xfId="683" xr:uid="{85C5CED5-BF17-4A96-83AF-85FFAED1E897}"/>
    <cellStyle name="60% - Accent1 14" xfId="684" xr:uid="{EF47C705-67E4-4B2F-82BA-F17906F3FDE7}"/>
    <cellStyle name="60% - Accent1 15" xfId="685" xr:uid="{FCD31409-6335-4123-ADCF-E8C870A79BD1}"/>
    <cellStyle name="60% - Accent1 16" xfId="686" xr:uid="{1ECFECB4-E64B-44B4-918C-C1FF56739C38}"/>
    <cellStyle name="60% - Accent1 17" xfId="687" xr:uid="{049C6EA9-A5F0-4B61-B4E0-BA3DD20439D2}"/>
    <cellStyle name="60% - Accent1 18" xfId="688" xr:uid="{98564E75-FF64-41C5-BF3D-6A17AF23BB9B}"/>
    <cellStyle name="60% - Accent1 2" xfId="47" xr:uid="{7BBE2D16-C4C0-4BC5-947F-1F96E87F4E7E}"/>
    <cellStyle name="60% - Accent1 2 2" xfId="689" xr:uid="{05A0210F-5F8F-4205-B268-E0988D8E5C59}"/>
    <cellStyle name="60% - Accent1 3" xfId="690" xr:uid="{8FA8FC84-57FD-40D3-B4B5-63B9172F755E}"/>
    <cellStyle name="60% - Accent1 4" xfId="691" xr:uid="{4A0086A0-E46E-4B1B-AD77-9DDCB0E11371}"/>
    <cellStyle name="60% - Accent1 5" xfId="692" xr:uid="{17E1C9DE-4CE7-47B6-82B4-FC36C3436FDD}"/>
    <cellStyle name="60% - Accent1 6" xfId="693" xr:uid="{ED9ABF69-EBD8-4337-A36E-4B40A61D5658}"/>
    <cellStyle name="60% - Accent1 7" xfId="694" xr:uid="{2453E145-D883-4188-9162-526CBD9F61D7}"/>
    <cellStyle name="60% - Accent1 8" xfId="695" xr:uid="{DFC603C8-3C81-443D-9F19-B8216A51C042}"/>
    <cellStyle name="60% - Accent1 9" xfId="696" xr:uid="{1BEA2FDD-5F3E-4404-93A8-59735321A42D}"/>
    <cellStyle name="60% - Accent2 10" xfId="697" xr:uid="{E0290B0C-6515-4E56-B5CB-9A5802E81B31}"/>
    <cellStyle name="60% - Accent2 11" xfId="698" xr:uid="{15EFDDFE-2D57-4E7F-8367-A4BDB4E2D65E}"/>
    <cellStyle name="60% - Accent2 12" xfId="699" xr:uid="{12D3627C-F9E3-40A3-BC40-54CDD4CB5D95}"/>
    <cellStyle name="60% - Accent2 13" xfId="700" xr:uid="{FBE51D49-105F-4464-BB0D-FFA683FA686C}"/>
    <cellStyle name="60% - Accent2 14" xfId="701" xr:uid="{06A026C3-D33C-4B8A-84C5-4CB9C56D9BFA}"/>
    <cellStyle name="60% - Accent2 15" xfId="702" xr:uid="{952B303C-C47B-4BD1-8EB2-14C2E5FC98E2}"/>
    <cellStyle name="60% - Accent2 16" xfId="703" xr:uid="{A0F9CEBB-6E1C-4F5D-B275-DE873970201D}"/>
    <cellStyle name="60% - Accent2 17" xfId="704" xr:uid="{BDAD9FB2-F9D7-489B-A54C-C7F60AA12D00}"/>
    <cellStyle name="60% - Accent2 18" xfId="705" xr:uid="{C403B9D1-F3F6-4905-BB77-D6D4B68F9C3B}"/>
    <cellStyle name="60% - Accent2 2" xfId="48" xr:uid="{F036440B-8619-4B48-A8E6-5CB7C9FC96E3}"/>
    <cellStyle name="60% - Accent2 2 2" xfId="706" xr:uid="{50DD4165-27A0-4B36-BA31-42345AEC64BE}"/>
    <cellStyle name="60% - Accent2 3" xfId="707" xr:uid="{1201A3B0-AEF6-4A3E-8626-AD959F3FF53E}"/>
    <cellStyle name="60% - Accent2 4" xfId="708" xr:uid="{BE2188B5-736A-481E-9A31-2BE16521BAFB}"/>
    <cellStyle name="60% - Accent2 5" xfId="709" xr:uid="{2ACA2D2A-85FB-4DA9-9FBE-ED230044382A}"/>
    <cellStyle name="60% - Accent2 6" xfId="710" xr:uid="{EA2616AE-5899-4B7C-8A62-5BF738E768BC}"/>
    <cellStyle name="60% - Accent2 7" xfId="711" xr:uid="{F6CBB83D-130A-4283-9367-F8D6D5BB1BE9}"/>
    <cellStyle name="60% - Accent2 8" xfId="712" xr:uid="{8B2B518B-2E2A-411E-8F1F-DAAF05C9E4E9}"/>
    <cellStyle name="60% - Accent2 9" xfId="713" xr:uid="{AFFA34D1-DF4F-403B-865A-0DC3068DB16D}"/>
    <cellStyle name="60% - Accent3 10" xfId="714" xr:uid="{19A2925E-D6EB-4ED4-A4AE-42A909FF0562}"/>
    <cellStyle name="60% - Accent3 11" xfId="715" xr:uid="{5B9542EE-375E-488E-9D55-DDFDC12711B1}"/>
    <cellStyle name="60% - Accent3 12" xfId="716" xr:uid="{DBFA6235-8490-4059-BEF0-9A41661D821F}"/>
    <cellStyle name="60% - Accent3 13" xfId="717" xr:uid="{55388412-F41B-4DA3-A5E8-A8CBE9AB0F5E}"/>
    <cellStyle name="60% - Accent3 14" xfId="718" xr:uid="{B3B508B8-A7FE-43EF-8514-A38B75A99377}"/>
    <cellStyle name="60% - Accent3 15" xfId="719" xr:uid="{49946606-8D4D-4C9D-860D-2B9CEBC8AC98}"/>
    <cellStyle name="60% - Accent3 16" xfId="720" xr:uid="{4ED9ADF4-5CD1-4685-81AC-706DB9362C57}"/>
    <cellStyle name="60% - Accent3 17" xfId="721" xr:uid="{CE807D93-99D2-401C-80EE-D291BA59DBD0}"/>
    <cellStyle name="60% - Accent3 18" xfId="722" xr:uid="{2E2689E1-FACB-4417-81C2-CCEB72180085}"/>
    <cellStyle name="60% - Accent3 2" xfId="49" xr:uid="{45F0A456-F729-4D18-B4D1-79F6FBCB9503}"/>
    <cellStyle name="60% - Accent3 2 2" xfId="723" xr:uid="{FFF267BD-733A-48C2-8DD8-34A75C0D8785}"/>
    <cellStyle name="60% - Accent3 3" xfId="724" xr:uid="{65BDAABA-33D8-49E7-9CE4-861E374FC42E}"/>
    <cellStyle name="60% - Accent3 4" xfId="725" xr:uid="{E802654C-9B34-47AD-A137-7C1DE6B96350}"/>
    <cellStyle name="60% - Accent3 5" xfId="726" xr:uid="{FCA2176A-BC97-4F9E-90D8-B42F0A155DDE}"/>
    <cellStyle name="60% - Accent3 6" xfId="727" xr:uid="{BD2AB94E-C81E-4A55-9BE3-5609DBBECD9D}"/>
    <cellStyle name="60% - Accent3 7" xfId="728" xr:uid="{C48F9732-2E89-4B3F-A58B-43578F090694}"/>
    <cellStyle name="60% - Accent3 8" xfId="729" xr:uid="{1B916F09-A4DE-4E11-8107-0BF47F6DFA0D}"/>
    <cellStyle name="60% - Accent3 9" xfId="730" xr:uid="{1B9E3747-2BF2-4CDD-A005-4D6598381BB4}"/>
    <cellStyle name="60% - Accent4 10" xfId="731" xr:uid="{03E536A5-BE2E-4A69-93DD-42DF22755470}"/>
    <cellStyle name="60% - Accent4 11" xfId="732" xr:uid="{03C62230-D328-40A8-BEAA-941E6E534A3D}"/>
    <cellStyle name="60% - Accent4 12" xfId="733" xr:uid="{11288FFB-483E-4D12-A4F4-79C093419A71}"/>
    <cellStyle name="60% - Accent4 13" xfId="734" xr:uid="{8AFFB0CE-91F2-4AAE-B9CA-D9412BEBB56F}"/>
    <cellStyle name="60% - Accent4 14" xfId="735" xr:uid="{A550D059-EEC9-413D-891E-69BC72EFE757}"/>
    <cellStyle name="60% - Accent4 15" xfId="736" xr:uid="{4B684E00-3B6B-4FD7-A931-85FFBA441950}"/>
    <cellStyle name="60% - Accent4 16" xfId="737" xr:uid="{8B96FDE1-089E-4F03-A4B4-B58046743065}"/>
    <cellStyle name="60% - Accent4 17" xfId="738" xr:uid="{99135E15-6584-4791-B687-2398A2FD4DE5}"/>
    <cellStyle name="60% - Accent4 18" xfId="739" xr:uid="{5EA95360-F7D6-4F2A-A1F7-7BB9C22C7D38}"/>
    <cellStyle name="60% - Accent4 2" xfId="50" xr:uid="{C35A2FD3-575A-4A4C-8579-5E68C2F10FBA}"/>
    <cellStyle name="60% - Accent4 2 2" xfId="740" xr:uid="{667D9434-595D-4479-9047-11B6F311A272}"/>
    <cellStyle name="60% - Accent4 3" xfId="741" xr:uid="{46C07856-A988-4699-8B4A-24106EE73CA3}"/>
    <cellStyle name="60% - Accent4 4" xfId="742" xr:uid="{43E1EBFC-2A07-420A-9757-A9CBCB291A8A}"/>
    <cellStyle name="60% - Accent4 5" xfId="743" xr:uid="{EF33B295-50CB-4CF4-A27B-A4FA9E4C9E80}"/>
    <cellStyle name="60% - Accent4 6" xfId="744" xr:uid="{68324F51-B728-4230-8C02-55DB919FE838}"/>
    <cellStyle name="60% - Accent4 7" xfId="745" xr:uid="{56405492-A19E-478E-865F-AC168D50B279}"/>
    <cellStyle name="60% - Accent4 8" xfId="746" xr:uid="{21F4AE6C-3358-47F8-9553-B50CB3C1CA31}"/>
    <cellStyle name="60% - Accent4 9" xfId="747" xr:uid="{A40CB168-9484-461A-8FA6-8FEBF727EACC}"/>
    <cellStyle name="60% - Accent5 10" xfId="748" xr:uid="{0D48CBD9-F609-4B5E-B2A2-47D3AA8DC355}"/>
    <cellStyle name="60% - Accent5 11" xfId="749" xr:uid="{E1F2E0BA-1CBF-44B9-8F75-806CF39C6990}"/>
    <cellStyle name="60% - Accent5 12" xfId="750" xr:uid="{AFD49829-D822-48BC-846F-BA3840BB6F17}"/>
    <cellStyle name="60% - Accent5 13" xfId="751" xr:uid="{4E6F0E0E-3515-489F-9417-C0A2618C83F0}"/>
    <cellStyle name="60% - Accent5 14" xfId="752" xr:uid="{6B835879-D611-4A62-8A0F-077D95227252}"/>
    <cellStyle name="60% - Accent5 15" xfId="753" xr:uid="{65E329D4-6B48-4A46-872D-DC71CD096AC6}"/>
    <cellStyle name="60% - Accent5 16" xfId="754" xr:uid="{3B063016-B893-4D34-9F56-92E37DF1D022}"/>
    <cellStyle name="60% - Accent5 17" xfId="755" xr:uid="{90E2DE9C-416A-46E8-A5D5-38A240A30056}"/>
    <cellStyle name="60% - Accent5 18" xfId="756" xr:uid="{106E0967-4E81-4F3C-B2BB-F3898F002706}"/>
    <cellStyle name="60% - Accent5 2" xfId="51" xr:uid="{A37ABA09-6DCD-4D0A-BDA2-7A717B48F4C0}"/>
    <cellStyle name="60% - Accent5 2 2" xfId="757" xr:uid="{A505DBBF-B401-42EA-8D5D-E07E3F45060F}"/>
    <cellStyle name="60% - Accent5 3" xfId="758" xr:uid="{4CEFFA1A-6161-4BE2-99FF-2BBC24180929}"/>
    <cellStyle name="60% - Accent5 4" xfId="759" xr:uid="{71B6E079-D671-428D-AF94-532824F55958}"/>
    <cellStyle name="60% - Accent5 5" xfId="760" xr:uid="{F4B3C1A0-B882-4537-BC6E-062BCD43C18B}"/>
    <cellStyle name="60% - Accent5 6" xfId="761" xr:uid="{DFA85128-C4E3-443D-8F85-076888B021F0}"/>
    <cellStyle name="60% - Accent5 7" xfId="762" xr:uid="{7CA03356-8E60-4233-93D9-CC0C837C1D2D}"/>
    <cellStyle name="60% - Accent5 8" xfId="763" xr:uid="{E215285F-A04E-45B6-9B18-A20DD745376C}"/>
    <cellStyle name="60% - Accent5 9" xfId="764" xr:uid="{906B14FF-91FD-4B4D-B7BF-30BC787BBE74}"/>
    <cellStyle name="60% - Accent6 10" xfId="765" xr:uid="{8CB6C2F6-CF65-47F3-954B-399B0B285BFD}"/>
    <cellStyle name="60% - Accent6 11" xfId="766" xr:uid="{DF41F9DF-81B7-48AC-A3E6-7D15A96F04B7}"/>
    <cellStyle name="60% - Accent6 12" xfId="767" xr:uid="{3FBCD4EF-D667-4059-9012-2089922B23AF}"/>
    <cellStyle name="60% - Accent6 13" xfId="768" xr:uid="{514A72B8-92CE-4DF1-BAC9-7A3D5590DA5A}"/>
    <cellStyle name="60% - Accent6 14" xfId="769" xr:uid="{D889F653-A7AC-480C-9840-896B6A78DDA8}"/>
    <cellStyle name="60% - Accent6 15" xfId="770" xr:uid="{8E551307-A46C-4AC3-BDE1-EACFF758D0DC}"/>
    <cellStyle name="60% - Accent6 16" xfId="771" xr:uid="{50E48C43-D1B9-46C9-B1E6-EA738DB59A6D}"/>
    <cellStyle name="60% - Accent6 17" xfId="772" xr:uid="{CF42E26E-84AC-4F2A-8088-02B5A07493BC}"/>
    <cellStyle name="60% - Accent6 18" xfId="773" xr:uid="{9AB6A76B-FBFA-4429-91A5-16B0413ED1C3}"/>
    <cellStyle name="60% - Accent6 2" xfId="52" xr:uid="{299DABF4-937C-42B4-AC1F-1E45ADC4C175}"/>
    <cellStyle name="60% - Accent6 2 2" xfId="774" xr:uid="{F17CF3FC-E9A3-4BD1-BF6F-2A6F9E709799}"/>
    <cellStyle name="60% - Accent6 3" xfId="775" xr:uid="{517DA476-ECFB-45BF-89CC-66E9EA46DADA}"/>
    <cellStyle name="60% - Accent6 4" xfId="776" xr:uid="{A681F6EC-7162-40FB-9F73-E6F7CC68AE70}"/>
    <cellStyle name="60% - Accent6 5" xfId="777" xr:uid="{2118F64F-0224-42B7-9A84-BADD7AB92634}"/>
    <cellStyle name="60% - Accent6 6" xfId="778" xr:uid="{31C38BE4-B9BA-43CD-A8F1-4EDE8002D790}"/>
    <cellStyle name="60% - Accent6 7" xfId="779" xr:uid="{B183C941-2340-45CF-B541-DC0F14D6784C}"/>
    <cellStyle name="60% - Accent6 8" xfId="780" xr:uid="{9D040D0E-FF9A-4FC4-ACC1-B6AF42030A9C}"/>
    <cellStyle name="60% - Accent6 9" xfId="781" xr:uid="{3E0D297D-4C18-44BB-A3FA-B76A7D730F32}"/>
    <cellStyle name="60% - Akzent1" xfId="782" xr:uid="{EC7074FB-877E-4226-9474-0FF339F5D1C9}"/>
    <cellStyle name="60% - Akzent2" xfId="783" xr:uid="{B19B70A5-D441-410C-85CA-08DF0796D1E6}"/>
    <cellStyle name="60% - Akzent3" xfId="784" xr:uid="{3AC424EB-E658-48D3-B4F2-CA72227D91C5}"/>
    <cellStyle name="60% - Akzent4" xfId="785" xr:uid="{EC379777-4F06-4C28-B2B0-D76EFD07A845}"/>
    <cellStyle name="60% - Akzent5" xfId="786" xr:uid="{93745701-1991-473D-9A83-193A269112F3}"/>
    <cellStyle name="60% - Akzent6" xfId="787" xr:uid="{1D6B393C-CFD1-42E5-85EA-2E1CA06EDAE5}"/>
    <cellStyle name="60% - Colore 1" xfId="788" xr:uid="{0100E9A8-F2AD-4A4F-9572-65B161C724CC}"/>
    <cellStyle name="60% - Colore 2" xfId="789" xr:uid="{71D2F96A-6063-46A1-93E0-742D59130184}"/>
    <cellStyle name="60% - Colore 3" xfId="790" xr:uid="{81E0522C-1656-4C5A-B5B8-9C89AD870B02}"/>
    <cellStyle name="60% - Colore 4" xfId="791" xr:uid="{6AB760C5-922E-4E8B-B86C-A5A109FB9235}"/>
    <cellStyle name="60% - Colore 5" xfId="792" xr:uid="{C69D1ECC-B502-4E11-9E21-594095C51067}"/>
    <cellStyle name="60% - Colore 6" xfId="793" xr:uid="{E4E23E18-4486-49FE-A852-5630F94C4225}"/>
    <cellStyle name="Accent1" xfId="18" builtinId="29" customBuiltin="1"/>
    <cellStyle name="Accent1 10" xfId="794" xr:uid="{69DE84CE-FBDA-41E8-A8D8-644B3869D56B}"/>
    <cellStyle name="Accent1 11" xfId="795" xr:uid="{195B9896-3EE8-4704-A4AB-DECB5065A137}"/>
    <cellStyle name="Accent1 12" xfId="796" xr:uid="{DEB9580E-A0AD-46C4-BDC9-05BFA00B6710}"/>
    <cellStyle name="Accent1 13" xfId="797" xr:uid="{06031F80-0A90-4FCB-8333-707D401B8991}"/>
    <cellStyle name="Accent1 14" xfId="798" xr:uid="{E06F981D-54BB-4449-BCCA-16F632B1296A}"/>
    <cellStyle name="Accent1 15" xfId="799" xr:uid="{E7787A3C-CC31-4250-BC56-FE7FF37E68FB}"/>
    <cellStyle name="Accent1 16" xfId="800" xr:uid="{160AD702-BD95-4665-B699-C6B9CA9EEA5D}"/>
    <cellStyle name="Accent1 17" xfId="801" xr:uid="{1D54C0B0-6268-4506-8250-6B8250B7E253}"/>
    <cellStyle name="Accent1 18" xfId="802" xr:uid="{8FBB59E1-6A7B-4D88-BF73-8CA98B535F44}"/>
    <cellStyle name="Accent1 2" xfId="803" xr:uid="{7BB4DB55-D480-4383-8812-042D7272E84C}"/>
    <cellStyle name="Accent1 3" xfId="804" xr:uid="{8FC260FB-A93A-4958-A510-819162A05469}"/>
    <cellStyle name="Accent1 4" xfId="805" xr:uid="{10E9B20D-C6CF-4478-B446-8D76F61CF5D8}"/>
    <cellStyle name="Accent1 4 2" xfId="806" xr:uid="{7BB538F1-4CBB-4A52-8A41-AC2F04719249}"/>
    <cellStyle name="Accent1 4 3" xfId="807" xr:uid="{F4E68F0A-02E8-42D4-8B1E-6022119D44BC}"/>
    <cellStyle name="Accent1 5" xfId="808" xr:uid="{421655BC-3688-417E-A7DB-886674C0CA25}"/>
    <cellStyle name="Accent1 5 2" xfId="809" xr:uid="{8D07E081-633A-4B02-ADD6-C6B765FBCF05}"/>
    <cellStyle name="Accent1 5 3" xfId="810" xr:uid="{291B46E0-D75E-4D4C-A9AA-7AAD948EE4EF}"/>
    <cellStyle name="Accent1 6" xfId="811" xr:uid="{CA135116-14C7-4D8E-B73E-278E9CC0A238}"/>
    <cellStyle name="Accent1 6 2" xfId="812" xr:uid="{1AC5E21C-DDE1-4E2A-804F-4130FAD53C87}"/>
    <cellStyle name="Accent1 6 3" xfId="813" xr:uid="{CC005DD3-4F17-4C0C-8D6C-9F6F7F5088A5}"/>
    <cellStyle name="Accent1 7" xfId="814" xr:uid="{805702B0-0BB8-4942-AB01-906E065588C4}"/>
    <cellStyle name="Accent1 8" xfId="815" xr:uid="{7711A82C-06EA-4FAC-BC0D-6834E2B274AB}"/>
    <cellStyle name="Accent1 9" xfId="816" xr:uid="{7DDA9B81-F441-4CE9-AFED-B9BE67346961}"/>
    <cellStyle name="Accent2" xfId="21" builtinId="33" customBuiltin="1"/>
    <cellStyle name="Accent2 10" xfId="817" xr:uid="{4C1EBA60-78C5-47E1-A70B-B7BF9C20DF60}"/>
    <cellStyle name="Accent2 11" xfId="818" xr:uid="{2032EE1F-0C89-48CA-BDBB-75465F2D4843}"/>
    <cellStyle name="Accent2 12" xfId="819" xr:uid="{872118A9-A517-48FC-ACBE-B84450394CDF}"/>
    <cellStyle name="Accent2 13" xfId="820" xr:uid="{DE5542B4-3D11-439A-B987-DC86FF5F3594}"/>
    <cellStyle name="Accent2 14" xfId="821" xr:uid="{A828F4F1-0743-4A0E-BA1D-9631AD9808FE}"/>
    <cellStyle name="Accent2 15" xfId="822" xr:uid="{699A83CA-9A49-4387-9E32-658C5FE6E898}"/>
    <cellStyle name="Accent2 16" xfId="823" xr:uid="{87FF1D65-9E8E-4724-9D11-2CAD9812F1FA}"/>
    <cellStyle name="Accent2 17" xfId="824" xr:uid="{FBE752F1-5715-47B2-BD65-CDEAAFEF87CC}"/>
    <cellStyle name="Accent2 18" xfId="825" xr:uid="{31037BFE-6C0A-42B2-B9D1-5BD2FC058B93}"/>
    <cellStyle name="Accent2 2" xfId="826" xr:uid="{35D09FB2-41FC-40E4-BBE4-46A49AA82A65}"/>
    <cellStyle name="Accent2 3" xfId="827" xr:uid="{0D3AB4C7-5354-44FC-82E2-4395739B30B1}"/>
    <cellStyle name="Accent2 4" xfId="828" xr:uid="{0ACD5BE0-A52A-47C8-8C3F-B10F6EC7756C}"/>
    <cellStyle name="Accent2 4 2" xfId="829" xr:uid="{8DC9087A-4C18-432D-87B0-6DA7DF977392}"/>
    <cellStyle name="Accent2 4 3" xfId="830" xr:uid="{F3F8CC84-19CA-4F4D-8A30-9B265F9ED0D0}"/>
    <cellStyle name="Accent2 5" xfId="831" xr:uid="{03830E08-BEBD-4F4C-B3F5-AFE90E626029}"/>
    <cellStyle name="Accent2 5 2" xfId="832" xr:uid="{8AC9A512-A6F6-4280-93A0-54C7871A17C3}"/>
    <cellStyle name="Accent2 5 3" xfId="833" xr:uid="{1A75077D-04C4-409D-8F15-15F0FC598080}"/>
    <cellStyle name="Accent2 6" xfId="834" xr:uid="{219DFCA4-B1CF-4545-B119-F80AB58B3887}"/>
    <cellStyle name="Accent2 6 2" xfId="835" xr:uid="{2562085C-A8FA-4C50-B217-244A65D976B9}"/>
    <cellStyle name="Accent2 6 3" xfId="836" xr:uid="{E70068E5-E471-4514-A84E-8A4F9D6C7BEE}"/>
    <cellStyle name="Accent2 7" xfId="837" xr:uid="{B905DE86-B910-41DC-88AC-A8C26ED22D83}"/>
    <cellStyle name="Accent2 8" xfId="838" xr:uid="{D9D9ACED-93A6-4FFF-B96C-7B600EEA32A0}"/>
    <cellStyle name="Accent2 9" xfId="839" xr:uid="{6B58F9A9-582E-4D30-9195-C125832DF4E4}"/>
    <cellStyle name="Accent3" xfId="24" builtinId="37" customBuiltin="1"/>
    <cellStyle name="Accent3 10" xfId="840" xr:uid="{D904C3AA-EFC7-466F-A0BE-455DD6D6BC05}"/>
    <cellStyle name="Accent3 11" xfId="841" xr:uid="{B245A188-95AC-424D-8ED0-9C392AF5C801}"/>
    <cellStyle name="Accent3 12" xfId="842" xr:uid="{17849356-75DA-492E-9DC1-E8A8179099E1}"/>
    <cellStyle name="Accent3 13" xfId="843" xr:uid="{81DB56AD-D317-4323-9CC5-4DE0F75C0903}"/>
    <cellStyle name="Accent3 14" xfId="844" xr:uid="{29AE4D2B-3495-42AC-8B81-17BB4B2C1413}"/>
    <cellStyle name="Accent3 15" xfId="845" xr:uid="{6C5944F3-7FBE-48AB-B47A-A0415C9105F0}"/>
    <cellStyle name="Accent3 16" xfId="846" xr:uid="{278BC881-16A0-466C-87DC-3A68F6BD2C00}"/>
    <cellStyle name="Accent3 17" xfId="847" xr:uid="{E2C7DD11-E3BD-41DE-AF28-09ADECD858A6}"/>
    <cellStyle name="Accent3 18" xfId="848" xr:uid="{59C2B2AE-7722-49A6-AF61-A63F647DDD28}"/>
    <cellStyle name="Accent3 2" xfId="849" xr:uid="{4616BC40-5090-475E-B8DD-C18BC829FA51}"/>
    <cellStyle name="Accent3 3" xfId="850" xr:uid="{9F027051-1AC1-4A4C-8C4D-E7BA8FE953F7}"/>
    <cellStyle name="Accent3 4" xfId="851" xr:uid="{AEA47DAD-95D6-4C68-865C-57BB4D9E90DB}"/>
    <cellStyle name="Accent3 4 2" xfId="852" xr:uid="{16031A73-A4DC-4046-AFDC-0284B6726460}"/>
    <cellStyle name="Accent3 4 3" xfId="853" xr:uid="{A71C5027-1ED4-4979-A307-64E4A0A6923D}"/>
    <cellStyle name="Accent3 5" xfId="854" xr:uid="{2260C32F-A916-487D-9013-7C840E3F4898}"/>
    <cellStyle name="Accent3 5 2" xfId="855" xr:uid="{048E96DA-37C1-4AFB-8705-71CD4CB2C53D}"/>
    <cellStyle name="Accent3 5 3" xfId="856" xr:uid="{6B7C9B0E-344D-443A-A601-CF6CFEAE1F18}"/>
    <cellStyle name="Accent3 6" xfId="857" xr:uid="{D6C8D2F5-2CD2-46E0-BAA5-750FFD710ADD}"/>
    <cellStyle name="Accent3 6 2" xfId="858" xr:uid="{4B7E380C-52BD-44C0-9B3B-8C56BD590C35}"/>
    <cellStyle name="Accent3 6 3" xfId="859" xr:uid="{E1387270-71AD-4671-9BF1-864447FAC729}"/>
    <cellStyle name="Accent3 7" xfId="860" xr:uid="{AC8BCF8C-3E57-436C-8996-7F70021BAA6D}"/>
    <cellStyle name="Accent3 8" xfId="861" xr:uid="{47DBE838-0D55-4383-AF38-7C0D556A6423}"/>
    <cellStyle name="Accent3 9" xfId="862" xr:uid="{3305C0E0-D361-4D72-9483-69F1384F5D4C}"/>
    <cellStyle name="Accent4" xfId="27" builtinId="41" customBuiltin="1"/>
    <cellStyle name="Accent4 10" xfId="863" xr:uid="{BBEE7281-9096-43DF-81BC-82F21899FD66}"/>
    <cellStyle name="Accent4 11" xfId="864" xr:uid="{275E6688-5858-437C-82E7-5A197958AD17}"/>
    <cellStyle name="Accent4 12" xfId="865" xr:uid="{D7B1F7BE-2057-4BF1-8EE2-7C099CB85A33}"/>
    <cellStyle name="Accent4 13" xfId="866" xr:uid="{E7E773E8-FC06-41BF-9825-AA0368AA3941}"/>
    <cellStyle name="Accent4 14" xfId="867" xr:uid="{90E76C51-3DB2-4147-B8C5-F71E627B30AC}"/>
    <cellStyle name="Accent4 15" xfId="868" xr:uid="{A901D158-8449-4155-8D22-D51E83C2D370}"/>
    <cellStyle name="Accent4 16" xfId="869" xr:uid="{E34F37B9-B510-4336-8967-4CDC74C84916}"/>
    <cellStyle name="Accent4 17" xfId="870" xr:uid="{7F87A648-2FF6-4A4D-9F57-BB3297ACB086}"/>
    <cellStyle name="Accent4 18" xfId="871" xr:uid="{77D7AE3A-F36D-4692-B23C-7A1F8AB85990}"/>
    <cellStyle name="Accent4 2" xfId="872" xr:uid="{3763444A-39EA-4B4A-9791-33066012525E}"/>
    <cellStyle name="Accent4 3" xfId="873" xr:uid="{8FEA5903-BBAF-4729-AC05-7EA19198AC05}"/>
    <cellStyle name="Accent4 4" xfId="874" xr:uid="{39E3A5C1-3ACB-49B0-99C1-99033A9D5B4C}"/>
    <cellStyle name="Accent4 4 2" xfId="875" xr:uid="{541DE430-404A-4D36-9836-7A640D75DF36}"/>
    <cellStyle name="Accent4 4 3" xfId="876" xr:uid="{5793C401-A651-4B4F-9266-D5856432CB4F}"/>
    <cellStyle name="Accent4 5" xfId="877" xr:uid="{83D33722-3A09-41C7-A2D1-8A1700327540}"/>
    <cellStyle name="Accent4 5 2" xfId="878" xr:uid="{1F984326-40C3-4463-8E7D-09F59009C1AC}"/>
    <cellStyle name="Accent4 5 3" xfId="879" xr:uid="{BD2AB9B6-DE0D-4F66-BD9B-D6B82FC93BDD}"/>
    <cellStyle name="Accent4 6" xfId="880" xr:uid="{9E0F51FF-B1FE-4988-A685-75938BCB79E1}"/>
    <cellStyle name="Accent4 6 2" xfId="881" xr:uid="{8E54241C-ADA9-44F1-B05B-12A550CEDD6C}"/>
    <cellStyle name="Accent4 6 3" xfId="882" xr:uid="{DEDF8D9D-0FFD-4EC4-9430-873B09D94ABE}"/>
    <cellStyle name="Accent4 7" xfId="883" xr:uid="{70EA128F-0C12-4DB8-B57E-2D167A27A840}"/>
    <cellStyle name="Accent4 8" xfId="884" xr:uid="{1314B276-499A-40C1-8FD0-7F071466D5F2}"/>
    <cellStyle name="Accent4 9" xfId="885" xr:uid="{F3883FC2-751C-4407-99FD-299F235D3C2E}"/>
    <cellStyle name="Accent5" xfId="30" builtinId="45" customBuiltin="1"/>
    <cellStyle name="Accent5 10" xfId="886" xr:uid="{3FA1BB48-6133-4686-B7C3-0D84C8F42DEE}"/>
    <cellStyle name="Accent5 11" xfId="887" xr:uid="{0A8718D7-162A-4176-B8C6-473968752469}"/>
    <cellStyle name="Accent5 12" xfId="888" xr:uid="{6AA675DA-EEBC-4956-8E04-D5FF9C8B859F}"/>
    <cellStyle name="Accent5 13" xfId="889" xr:uid="{D09245BB-30BF-42E4-AF6B-75F0FAECFFE1}"/>
    <cellStyle name="Accent5 14" xfId="890" xr:uid="{C41A9A24-6A79-40C5-ABD0-DEC36118FF51}"/>
    <cellStyle name="Accent5 15" xfId="891" xr:uid="{094FE0FA-FE0B-4FCF-8F13-D1FA99337E6D}"/>
    <cellStyle name="Accent5 16" xfId="892" xr:uid="{D67EF928-7932-4359-B9A5-1532BFCDF576}"/>
    <cellStyle name="Accent5 17" xfId="893" xr:uid="{2DECBB6B-FDED-4F03-87BF-19C81459F0BD}"/>
    <cellStyle name="Accent5 18" xfId="894" xr:uid="{B8BCBC43-8180-4402-992C-FF1830B97B97}"/>
    <cellStyle name="Accent5 2" xfId="895" xr:uid="{7C7E136D-527A-4D35-97A2-FBB3FA81F401}"/>
    <cellStyle name="Accent5 3" xfId="896" xr:uid="{CA0FB190-7DBD-4B0B-AC6B-A39E74F2F6C0}"/>
    <cellStyle name="Accent5 4" xfId="897" xr:uid="{7780C45C-C4E2-4585-BF54-01580C86EAD0}"/>
    <cellStyle name="Accent5 4 2" xfId="898" xr:uid="{D5C33D39-1220-480A-B96D-8186D5C1BFDB}"/>
    <cellStyle name="Accent5 4 3" xfId="899" xr:uid="{0ABC2D2A-C3D5-44A9-9E29-DB684809784E}"/>
    <cellStyle name="Accent5 5" xfId="900" xr:uid="{6AC1E443-AA7B-4BB4-9D1A-AF5EF482440A}"/>
    <cellStyle name="Accent5 5 2" xfId="901" xr:uid="{6B11A48F-5673-4BA3-93BD-2ED5143170BC}"/>
    <cellStyle name="Accent5 5 3" xfId="902" xr:uid="{28B4758D-E518-4931-83E6-A60B74DA972B}"/>
    <cellStyle name="Accent5 6" xfId="903" xr:uid="{60599BBE-5ACB-45E1-A65F-3C5154D0295E}"/>
    <cellStyle name="Accent5 6 2" xfId="904" xr:uid="{60F27F78-617B-4326-BF13-6998EF2B1AAE}"/>
    <cellStyle name="Accent5 6 3" xfId="905" xr:uid="{C2526A37-C360-4EFA-B493-394E5DC6A55D}"/>
    <cellStyle name="Accent5 7" xfId="906" xr:uid="{D4FC3E44-836B-4961-9314-F6609C4227A4}"/>
    <cellStyle name="Accent5 8" xfId="907" xr:uid="{AF004B11-61E6-49C1-919A-FCE143C7DD00}"/>
    <cellStyle name="Accent5 9" xfId="908" xr:uid="{D254A26A-F445-4A41-BAB6-CD0D3A568B3B}"/>
    <cellStyle name="Accent6" xfId="33" builtinId="49" customBuiltin="1"/>
    <cellStyle name="Accent6 10" xfId="909" xr:uid="{BCF029D7-1C50-47B4-8635-C7A21EB52B6B}"/>
    <cellStyle name="Accent6 11" xfId="910" xr:uid="{DAF1A405-7C70-42C4-B30E-5D153266CE05}"/>
    <cellStyle name="Accent6 12" xfId="911" xr:uid="{953EF19B-10B2-4145-8853-88ACDE1952D6}"/>
    <cellStyle name="Accent6 13" xfId="912" xr:uid="{495DC0B3-C11A-457C-82A4-4BB3EABF89BB}"/>
    <cellStyle name="Accent6 14" xfId="913" xr:uid="{38C17176-2B52-4695-8D49-C2F0666EF9CF}"/>
    <cellStyle name="Accent6 15" xfId="914" xr:uid="{260E58C5-6F03-4C47-BCED-0290BEB697A7}"/>
    <cellStyle name="Accent6 16" xfId="915" xr:uid="{28C29362-DD87-469B-95DA-4FF77470D1F8}"/>
    <cellStyle name="Accent6 17" xfId="916" xr:uid="{ED1FA904-E175-4E55-BFD5-76A98C3070D2}"/>
    <cellStyle name="Accent6 18" xfId="917" xr:uid="{C4327FB2-06A2-4943-ADB0-2B957FBBC235}"/>
    <cellStyle name="Accent6 2" xfId="918" xr:uid="{1EFED2AC-FDE0-47DD-B172-0FB7CB4CA332}"/>
    <cellStyle name="Accent6 3" xfId="919" xr:uid="{2BECE6B3-3B80-4322-ABD2-C35B70AE8C51}"/>
    <cellStyle name="Accent6 4" xfId="920" xr:uid="{02111FBE-4E59-437D-8CC0-2A45136EEC3D}"/>
    <cellStyle name="Accent6 4 2" xfId="921" xr:uid="{23642F14-2F24-4D51-9F9F-B4472360633A}"/>
    <cellStyle name="Accent6 4 3" xfId="922" xr:uid="{36BEDBB0-E457-4003-BA7C-B57DCB3BD3F4}"/>
    <cellStyle name="Accent6 5" xfId="923" xr:uid="{5038731B-3E9E-4DBE-91EE-C92CBE37F5ED}"/>
    <cellStyle name="Accent6 5 2" xfId="924" xr:uid="{50969537-A978-46A7-917D-7BC38CD00375}"/>
    <cellStyle name="Accent6 5 3" xfId="925" xr:uid="{18595DB3-8FBB-4647-8B4D-2DED20731355}"/>
    <cellStyle name="Accent6 6" xfId="926" xr:uid="{DA627084-5835-41DC-B008-EB2981159FBA}"/>
    <cellStyle name="Accent6 6 2" xfId="927" xr:uid="{A42A7F71-8A4F-4989-8522-A5A5A7B1ACE6}"/>
    <cellStyle name="Accent6 6 3" xfId="928" xr:uid="{D7A11C1D-D65D-4C66-BC8C-8233CE82D047}"/>
    <cellStyle name="Accent6 7" xfId="929" xr:uid="{650BA8E8-F4B0-4845-860D-12D86B53293C}"/>
    <cellStyle name="Accent6 8" xfId="930" xr:uid="{3A4939D7-35A6-412B-B945-305D9D6D79D0}"/>
    <cellStyle name="Accent6 9" xfId="931" xr:uid="{EF57DCF4-66B0-4ECD-896E-74784EE0D933}"/>
    <cellStyle name="Affinity Annual" xfId="932" xr:uid="{4D8951C3-7783-4F3D-82F1-BA7816FC800E}"/>
    <cellStyle name="Affinity Background" xfId="933" xr:uid="{0448A07B-BEE5-4FC3-93E5-390592582277}"/>
    <cellStyle name="Affinity Caption" xfId="934" xr:uid="{F561C556-A959-4F50-BDB3-0146DB0405DD}"/>
    <cellStyle name="Affinity Date" xfId="935" xr:uid="{D4368E01-03C1-49B8-8EF4-4DA164395316}"/>
    <cellStyle name="Affinity Date 2" xfId="936" xr:uid="{2B67953C-51A3-4B0C-AF74-0869E389D88E}"/>
    <cellStyle name="Affinity Exhibit" xfId="937" xr:uid="{020F3D41-85D4-4295-8F91-B7FB3D95D9E1}"/>
    <cellStyle name="Affinity Exhibit 2" xfId="938" xr:uid="{B661B46D-6003-45D3-9966-2F632461B574}"/>
    <cellStyle name="Affinity Exhibit Header" xfId="939" xr:uid="{1CEFF0D2-1E93-43BD-ABC8-4ADAC10CD091}"/>
    <cellStyle name="Affinity Headings" xfId="940" xr:uid="{24324E0A-8D2B-42C1-B383-1427933DB299}"/>
    <cellStyle name="Affinity Headings 2" xfId="941" xr:uid="{198B3995-8C56-4D9D-962B-8AC58E3CFA44}"/>
    <cellStyle name="Affinity Highlight" xfId="942" xr:uid="{B0302A23-9530-4B37-A04D-190A32880F48}"/>
    <cellStyle name="Affinity Input" xfId="943" xr:uid="{8FD54C47-F3C6-4741-9F54-9B80F2E6F122}"/>
    <cellStyle name="Affinity Input 2" xfId="944" xr:uid="{A0763B4F-2A6A-408D-8580-BC720AA3BD9E}"/>
    <cellStyle name="Affinity Monthly" xfId="945" xr:uid="{A02FDA88-FB5F-423C-8595-E70993254C12}"/>
    <cellStyle name="Affinity Qtr" xfId="946" xr:uid="{B2F462E0-63C2-400A-A4F5-4264929CD339}"/>
    <cellStyle name="Affinity Semi-Annual" xfId="947" xr:uid="{E39146A1-626C-4FA2-904E-D05A7EB44B7A}"/>
    <cellStyle name="Affinity Totals" xfId="948" xr:uid="{0AE8F0E6-64CA-4D5B-922D-D2F5CC912DA3}"/>
    <cellStyle name="Affinity Totals 2" xfId="949" xr:uid="{3CEDE335-B3F7-4507-993F-A75C5FBDC549}"/>
    <cellStyle name="Aksentti1" xfId="950" xr:uid="{994F7808-68DA-4D80-B5AC-A041ABC2188A}"/>
    <cellStyle name="Aksentti2" xfId="951" xr:uid="{7A91D7CF-AA48-4DFE-8598-B94FA27F0AED}"/>
    <cellStyle name="Aksentti3" xfId="952" xr:uid="{EC9C2E4D-8CF5-416D-B135-36E453EC762B}"/>
    <cellStyle name="Aksentti4" xfId="953" xr:uid="{5779B467-6065-42CD-8F64-D7C65F98FFA8}"/>
    <cellStyle name="Aksentti5" xfId="954" xr:uid="{1F6475B4-1C0A-484A-A633-7129A87691A5}"/>
    <cellStyle name="Aksentti6" xfId="955" xr:uid="{422FC4FC-0693-464E-A946-0679EEC1C016}"/>
    <cellStyle name="Akzent1" xfId="956" xr:uid="{8FB42FA5-9753-4401-87FC-04E340BE1955}"/>
    <cellStyle name="Akzent2" xfId="957" xr:uid="{C4B19ECC-59B4-4D88-BB18-D2EE6DDD0DD3}"/>
    <cellStyle name="Akzent3" xfId="958" xr:uid="{23CB7E92-704B-4D0E-BE29-CB44E82839AD}"/>
    <cellStyle name="Akzent4" xfId="959" xr:uid="{04377F13-2BD0-4814-B0C4-1F87E14381B0}"/>
    <cellStyle name="Akzent5" xfId="960" xr:uid="{F12F2320-2FD4-42B4-953E-3209575CB59E}"/>
    <cellStyle name="Akzent6" xfId="961" xr:uid="{1CD2D69E-2F77-4264-8884-98CA13A7F90F}"/>
    <cellStyle name="Ausgabe" xfId="962" xr:uid="{69D85245-3240-42BC-8FA4-74B69E5ED297}"/>
    <cellStyle name="Ausgabe 2" xfId="2475" xr:uid="{73BF5529-1CFB-4EEA-A324-B71E94ABDC1D}"/>
    <cellStyle name="Ausgabe 3" xfId="2666" xr:uid="{360BB6AC-750F-4C58-9DAB-7CF67622260D}"/>
    <cellStyle name="Avertissement" xfId="963" xr:uid="{A6467E72-AAC7-49D3-9C79-E4EDFADE9E17}"/>
    <cellStyle name="Bad" xfId="8" builtinId="27" customBuiltin="1"/>
    <cellStyle name="Bad 10" xfId="964" xr:uid="{6CB5B983-39A4-4111-9C26-89ADBF1FA8C9}"/>
    <cellStyle name="Bad 11" xfId="965" xr:uid="{A09AC341-1651-4BD6-B35F-240817C25E5B}"/>
    <cellStyle name="Bad 12" xfId="966" xr:uid="{35AE45AB-6421-4103-9919-157C00A2B9A2}"/>
    <cellStyle name="Bad 13" xfId="967" xr:uid="{A9A7B9D0-2BBE-4071-9554-E3A2688C7743}"/>
    <cellStyle name="Bad 14" xfId="968" xr:uid="{8DE530BD-04F9-4EE7-95FC-239D2426DE80}"/>
    <cellStyle name="Bad 15" xfId="969" xr:uid="{A812B1A3-7627-4D29-997B-AB8F96200936}"/>
    <cellStyle name="Bad 16" xfId="970" xr:uid="{DC5F26E0-B85E-4DEC-B257-A4955F08EBDE}"/>
    <cellStyle name="Bad 17" xfId="971" xr:uid="{880EF4C3-EACF-4D02-8E94-139682D3218D}"/>
    <cellStyle name="Bad 18" xfId="972" xr:uid="{82966EB9-B0ED-4EEC-A9E7-7901E6D4E17E}"/>
    <cellStyle name="Bad 2" xfId="973" xr:uid="{1CD5F8E9-59E4-4B9C-ACE1-9DB3D9A89593}"/>
    <cellStyle name="Bad 3" xfId="974" xr:uid="{7D0BCE00-5D19-48EC-81A9-78C62F07B02A}"/>
    <cellStyle name="Bad 4" xfId="975" xr:uid="{D2A1FE60-EEF5-4089-BF14-D5491C6890E6}"/>
    <cellStyle name="Bad 5" xfId="976" xr:uid="{ED32B183-1A4E-4434-AF90-01FEEBFA754B}"/>
    <cellStyle name="Bad 6" xfId="977" xr:uid="{1B86EB02-5079-4893-A27D-42FD2C0AA5D8}"/>
    <cellStyle name="Bad 7" xfId="978" xr:uid="{4818D089-AA46-4E61-85CB-E873C740E16E}"/>
    <cellStyle name="Bad 8" xfId="979" xr:uid="{F9E77DE6-089C-4CFF-B654-84C5059E8AA5}"/>
    <cellStyle name="Bad 9" xfId="980" xr:uid="{BC49596C-9B4E-4B52-BE62-FA5796AFAE4D}"/>
    <cellStyle name="Berechnung" xfId="981" xr:uid="{E75F29B5-35F8-4524-91CA-A67E212F6FA5}"/>
    <cellStyle name="Berechnung 2" xfId="2476" xr:uid="{5D5375F6-D7F7-4C03-B455-47DD0702A5D6}"/>
    <cellStyle name="Berechnung 3" xfId="2665" xr:uid="{0A1746BE-1A0F-4274-BAB7-2C4396BCE5F7}"/>
    <cellStyle name="Bold 11" xfId="982" xr:uid="{4CE155E6-05D3-4BFC-AE4D-CB7F38FAC6B7}"/>
    <cellStyle name="Bold 11 2" xfId="983" xr:uid="{EB4080DA-2A43-4838-BF4B-E8C15D18FF52}"/>
    <cellStyle name="Bold 11 3" xfId="984" xr:uid="{21B2724B-8F8B-42E6-8069-D5DC2977FBB9}"/>
    <cellStyle name="Calcolo" xfId="985" xr:uid="{F637432F-6970-4523-ABB8-C0EF0A409240}"/>
    <cellStyle name="Calcolo 2" xfId="2477" xr:uid="{C8181B3E-DCF3-467F-B8EC-F1C70BB6A4DA}"/>
    <cellStyle name="Calcolo 3" xfId="2662" xr:uid="{9A2F52F4-72DD-4917-8D9D-B44A8520A584}"/>
    <cellStyle name="Calcul" xfId="986" xr:uid="{1A6273C5-1FCA-4680-AB60-AB2BE77E9553}"/>
    <cellStyle name="Calcul 2" xfId="2478" xr:uid="{E43946F2-6B96-4A57-B832-FDF8D6393BA2}"/>
    <cellStyle name="Calcul 3" xfId="2661" xr:uid="{70EDD86B-C8BC-4ED7-A0F0-CF0F4E0AF4A0}"/>
    <cellStyle name="Calculation" xfId="11" builtinId="22" customBuiltin="1"/>
    <cellStyle name="Calculation 10" xfId="987" xr:uid="{E0306400-BF79-4713-9972-C48F8B189B38}"/>
    <cellStyle name="Calculation 11" xfId="988" xr:uid="{7CD98FAD-EB36-4BD2-AB0A-D943BE8E769F}"/>
    <cellStyle name="Calculation 12" xfId="989" xr:uid="{BDEF9880-1F59-4394-8A72-68BF5684FA57}"/>
    <cellStyle name="Calculation 13" xfId="990" xr:uid="{4524FEF8-2B23-4A68-B235-28460332F1DB}"/>
    <cellStyle name="Calculation 14" xfId="991" xr:uid="{908A9136-5EAA-4A33-9C1D-D9F3F9B85815}"/>
    <cellStyle name="Calculation 15" xfId="992" xr:uid="{41FD389B-5757-4C65-A22E-A61157D1E554}"/>
    <cellStyle name="Calculation 16" xfId="993" xr:uid="{08181DEE-A1BA-48BD-9288-FDFCC0E2CEA9}"/>
    <cellStyle name="Calculation 17" xfId="994" xr:uid="{C6069DDE-5534-4EC7-AEE0-AB62200D9D35}"/>
    <cellStyle name="Calculation 18" xfId="995" xr:uid="{09DA9680-1806-4635-AEB6-860D95B0980D}"/>
    <cellStyle name="Calculation 2" xfId="996" xr:uid="{C3841199-98CF-47A5-BA71-8AEDCBF99DA4}"/>
    <cellStyle name="Calculation 2 2" xfId="2479" xr:uid="{B613D3CE-9890-4D42-B05C-7801641C7F5F}"/>
    <cellStyle name="Calculation 2 3" xfId="2660" xr:uid="{6B7B1705-E636-433D-B091-570C6F2523E3}"/>
    <cellStyle name="Calculation 3" xfId="997" xr:uid="{083361A0-9140-4708-82A0-3852C0CFE9A7}"/>
    <cellStyle name="Calculation 3 2" xfId="2480" xr:uid="{A528A7DB-7392-4EDC-9D36-933048DE698E}"/>
    <cellStyle name="Calculation 3 3" xfId="2659" xr:uid="{5EC09740-4005-4A01-BB5E-3FB07BFF99B7}"/>
    <cellStyle name="Calculation 4" xfId="998" xr:uid="{AF055451-E806-4DEE-B985-DD15EB09ED2F}"/>
    <cellStyle name="Calculation 5" xfId="999" xr:uid="{D54014BA-0816-4C76-8607-73BD84F988F4}"/>
    <cellStyle name="Calculation 6" xfId="1000" xr:uid="{00F388A3-0061-441B-8B60-8E79BDA299BB}"/>
    <cellStyle name="Calculation 7" xfId="1001" xr:uid="{A0093BAC-2BA8-42B5-9E97-D17781E45253}"/>
    <cellStyle name="Calculation 8" xfId="1002" xr:uid="{A42AAAA1-64FF-4C7C-906D-C6D8FDB951FD}"/>
    <cellStyle name="Calculation 9" xfId="1003" xr:uid="{9A77301E-9979-4E2C-AEE5-37D65C5FB6FA}"/>
    <cellStyle name="Cella collegata" xfId="1004" xr:uid="{BE724625-6475-4151-A2FF-15B606E46E64}"/>
    <cellStyle name="Cella da controllare" xfId="1005" xr:uid="{2F60304B-9486-4DFB-B670-BE07B6AC2B8A}"/>
    <cellStyle name="Cellule liée" xfId="1006" xr:uid="{2B17363A-1F46-4C25-8944-58EE6202DA3B}"/>
    <cellStyle name="Check Cell" xfId="13" builtinId="23" customBuiltin="1"/>
    <cellStyle name="Check Cell 10" xfId="1007" xr:uid="{96BF4D5E-58A4-489A-9BEF-44F8FDE0CA10}"/>
    <cellStyle name="Check Cell 11" xfId="1008" xr:uid="{15222BB1-CE34-4F24-BFF3-094B5945E670}"/>
    <cellStyle name="Check Cell 12" xfId="1009" xr:uid="{006C9B89-1B48-44A4-84E3-98B651126CBC}"/>
    <cellStyle name="Check Cell 13" xfId="1010" xr:uid="{8D98B71C-3B68-4CCB-9B4F-A444173B5992}"/>
    <cellStyle name="Check Cell 14" xfId="1011" xr:uid="{569FB7F1-9251-479A-B87A-474079F540B8}"/>
    <cellStyle name="Check Cell 15" xfId="1012" xr:uid="{DD49CB32-E179-4872-804D-B7EB51852553}"/>
    <cellStyle name="Check Cell 16" xfId="1013" xr:uid="{DD4DB28B-F45F-4C70-9D4C-6C6EAA98B6DE}"/>
    <cellStyle name="Check Cell 17" xfId="1014" xr:uid="{45D71E67-3A96-4947-A875-FB1215B24E02}"/>
    <cellStyle name="Check Cell 18" xfId="1015" xr:uid="{8EBE34E5-AB77-434A-9CEE-A0252D22A23D}"/>
    <cellStyle name="Check Cell 2" xfId="1016" xr:uid="{277B0E91-BF7C-4D1C-91EA-54E6A8C1E74C}"/>
    <cellStyle name="Check Cell 3" xfId="1017" xr:uid="{0D5E70A2-9DD8-443D-9E8B-22DC4DA1143E}"/>
    <cellStyle name="Check Cell 4" xfId="1018" xr:uid="{DE8A4326-7201-4096-84C0-B5E77608A5A8}"/>
    <cellStyle name="Check Cell 5" xfId="1019" xr:uid="{6015B4C5-8FAF-47FD-A5CA-490A0DC23A77}"/>
    <cellStyle name="Check Cell 6" xfId="1020" xr:uid="{7ED11ADF-4F25-403E-BBDC-3B1E91F1377D}"/>
    <cellStyle name="Check Cell 7" xfId="1021" xr:uid="{5C33E5DB-3AC2-41EE-A922-D527BB991858}"/>
    <cellStyle name="Check Cell 8" xfId="1022" xr:uid="{B9FD44A7-40FD-4615-BB9E-8C506D507704}"/>
    <cellStyle name="Check Cell 9" xfId="1023" xr:uid="{1FCA4FDC-A942-4D8D-A74D-A84378A326E8}"/>
    <cellStyle name="Colore 1" xfId="1024" xr:uid="{B626D75B-4C46-4B85-B8FD-7309896D2537}"/>
    <cellStyle name="Colore 2" xfId="1025" xr:uid="{A6DF50EA-2705-441C-A1C7-C084A2CBC4B5}"/>
    <cellStyle name="Colore 3" xfId="1026" xr:uid="{F2F43946-CDC3-41F3-A94E-D652B33D5842}"/>
    <cellStyle name="Colore 4" xfId="1027" xr:uid="{BF13E523-071C-45FF-8781-FD40F061CB3D}"/>
    <cellStyle name="Colore 5" xfId="1028" xr:uid="{40F0575A-43DF-4538-B5F7-2F104F2D3C1D}"/>
    <cellStyle name="Colore 6" xfId="1029" xr:uid="{D1E37BAC-BB33-4709-BCE9-5C248A9FBD59}"/>
    <cellStyle name="Comma" xfId="1" builtinId="3"/>
    <cellStyle name="Comma 10" xfId="1030" xr:uid="{2EFE73C3-9BA0-4093-B807-B8677B6D786B}"/>
    <cellStyle name="Comma 10 2" xfId="1031" xr:uid="{561C75A3-ACF3-48A2-AAB5-2A4E54AAFC69}"/>
    <cellStyle name="Comma 11" xfId="1032" xr:uid="{FE193CE5-5455-41F1-96CC-6A617863C929}"/>
    <cellStyle name="Comma 11 2" xfId="1033" xr:uid="{CC6D332C-2C15-406A-9386-99E2808CDCBD}"/>
    <cellStyle name="Comma 12" xfId="1034" xr:uid="{43A3E418-CCBC-4ABC-ACE1-B472108D0A44}"/>
    <cellStyle name="Comma 13" xfId="1035" xr:uid="{A5ECF1F4-4932-42BE-9374-FB11D0466CF9}"/>
    <cellStyle name="Comma 14" xfId="1036" xr:uid="{ADBF3631-699A-4E94-A748-EECAA139E0AC}"/>
    <cellStyle name="Comma 15" xfId="1037" xr:uid="{F775A85D-F99D-4558-AD64-2B55E0B748CF}"/>
    <cellStyle name="Comma 16" xfId="1038" xr:uid="{C9EB3D92-252A-462C-A783-90B4E2EB163B}"/>
    <cellStyle name="Comma 17" xfId="1039" xr:uid="{8D785C9E-3E04-4788-87DD-C8AF7B3B1FFE}"/>
    <cellStyle name="Comma 18" xfId="1040" xr:uid="{51EE98B4-1BF0-49F3-9694-31406CE55D08}"/>
    <cellStyle name="Comma 19" xfId="1041" xr:uid="{14F625FB-DC51-4F70-B45C-B3051B9DF71B}"/>
    <cellStyle name="Comma 2" xfId="58" xr:uid="{28AA1EC0-5D96-482E-AA47-AC4FC5B58148}"/>
    <cellStyle name="Comma 2 10" xfId="1043" xr:uid="{0951E783-5734-45A1-9B13-D5543EC56469}"/>
    <cellStyle name="Comma 2 11" xfId="1044" xr:uid="{314BE592-0D7B-42C1-84BA-784BA4619DD3}"/>
    <cellStyle name="Comma 2 12" xfId="1045" xr:uid="{5387CB94-BFB3-4C54-9665-7EE568E45E0A}"/>
    <cellStyle name="Comma 2 13" xfId="1046" xr:uid="{E3D5F29C-59F8-4F14-AE06-E4C305D570DD}"/>
    <cellStyle name="Comma 2 14" xfId="1047" xr:uid="{F8B329E4-50B1-429D-A9DF-B6E272969615}"/>
    <cellStyle name="Comma 2 15" xfId="1048" xr:uid="{8C42526F-7E9D-4BF5-B938-8DCDCDFA44E4}"/>
    <cellStyle name="Comma 2 16" xfId="1049" xr:uid="{C2B353A9-AEF9-4FA3-868A-B04A985B1746}"/>
    <cellStyle name="Comma 2 17" xfId="1050" xr:uid="{24745B7D-E6B2-4B28-B67F-1506AED48508}"/>
    <cellStyle name="Comma 2 18" xfId="1051" xr:uid="{046CA2D1-469B-4A22-9DBF-F215A73916EC}"/>
    <cellStyle name="Comma 2 18 2" xfId="1052" xr:uid="{F7244479-0E1B-493C-B62E-5DCBB6FDAE58}"/>
    <cellStyle name="Comma 2 19" xfId="1053" xr:uid="{0BACBA1E-6C5F-4CB5-B081-DDB50AC0C114}"/>
    <cellStyle name="Comma 2 19 2" xfId="1054" xr:uid="{6CEDFACF-71FF-4C39-B312-1E4695F1DC07}"/>
    <cellStyle name="Comma 2 2" xfId="43" xr:uid="{BF4A691F-07D9-4BB4-917C-D2EEE0C8E894}"/>
    <cellStyle name="Comma 2 2 10" xfId="1055" xr:uid="{F3AE6CF2-E1FB-44E5-BE85-5DF0302E7D22}"/>
    <cellStyle name="Comma 2 2 2" xfId="1056" xr:uid="{FD00C16D-55C3-44AC-A245-CC1C21AF7930}"/>
    <cellStyle name="Comma 2 2 2 2" xfId="63" xr:uid="{0B9D9636-606D-4C54-8172-698A87F62922}"/>
    <cellStyle name="Comma 2 2 2 2 2" xfId="1057" xr:uid="{9834EEA1-F433-4BD6-8FA6-E105CB74CC1D}"/>
    <cellStyle name="Comma 2 2 2 2 2 2" xfId="1058" xr:uid="{969042C3-2371-4925-9EEC-7561FC93658F}"/>
    <cellStyle name="Comma 2 2 2 2 2 2 2" xfId="1059" xr:uid="{4B647DB5-4E9E-495C-A825-BB59438160E9}"/>
    <cellStyle name="Comma 2 2 2 2 2 2 3" xfId="1060" xr:uid="{D89EC6ED-635A-4BEE-B88D-146ABF882527}"/>
    <cellStyle name="Comma 2 2 2 2 2 2 3 2" xfId="1061" xr:uid="{B5774BCD-CFCD-4F81-85B7-B77909F3EABD}"/>
    <cellStyle name="Comma 2 2 2 2 2 2 4" xfId="1062" xr:uid="{5F80BC7F-0C2D-4297-91EA-4BB7605A9A41}"/>
    <cellStyle name="Comma 2 2 2 2 2 2 4 2" xfId="1063" xr:uid="{8795A903-C411-4DCD-AC27-AEB2E3F76C67}"/>
    <cellStyle name="Comma 2 2 2 2 3" xfId="1064" xr:uid="{894E3982-A378-4889-AFEA-A8AD68390A8E}"/>
    <cellStyle name="Comma 2 2 2 2 4" xfId="1065" xr:uid="{25F93700-0F7A-478B-9566-02044E6CDB4C}"/>
    <cellStyle name="Comma 2 2 2 2 4 2" xfId="1066" xr:uid="{50DF20B3-B8DD-4FEA-9653-CE4305E33C02}"/>
    <cellStyle name="Comma 2 2 2 2 5" xfId="1067" xr:uid="{629AE005-7E41-43B7-9DE8-4370E8F9961D}"/>
    <cellStyle name="Comma 2 2 2 2 5 2" xfId="1068" xr:uid="{7939E020-043F-40D0-925D-CC5EFD89C553}"/>
    <cellStyle name="Comma 2 2 2 3" xfId="1069" xr:uid="{EF2821C8-3A72-4393-ADEF-8C9479ACE234}"/>
    <cellStyle name="Comma 2 2 2 4" xfId="1070" xr:uid="{F13B1736-0482-4B23-8556-DFF6931C1681}"/>
    <cellStyle name="Comma 2 2 2 4 2" xfId="1071" xr:uid="{854F34AC-3717-4439-849E-25B1B4F3CEA7}"/>
    <cellStyle name="Comma 2 2 2 4 3" xfId="1072" xr:uid="{94013C21-AEFD-44D6-8C1D-F2E9628B6EB1}"/>
    <cellStyle name="Comma 2 2 2 4 3 2" xfId="1073" xr:uid="{03FCE7BD-EC4A-474D-B34F-08C06CCF7390}"/>
    <cellStyle name="Comma 2 2 2 4 4" xfId="1074" xr:uid="{3568BBFE-9EE1-4D22-A92C-4FABA926B9FE}"/>
    <cellStyle name="Comma 2 2 2 4 4 2" xfId="1075" xr:uid="{83241056-0FDB-46BA-9766-5120F2839BF7}"/>
    <cellStyle name="Comma 2 2 3" xfId="1076" xr:uid="{36A0D5C4-6672-4D96-882A-598463A6F01C}"/>
    <cellStyle name="Comma 2 2 3 2" xfId="1077" xr:uid="{E7E76668-3666-4069-9B3F-A421D2166E8D}"/>
    <cellStyle name="Comma 2 2 3 2 2" xfId="1078" xr:uid="{E8AAD939-DE8F-4404-B5E7-DD476935CE52}"/>
    <cellStyle name="Comma 2 2 3 3" xfId="1079" xr:uid="{5496C702-D658-4701-AD6F-09901E3B6EB3}"/>
    <cellStyle name="Comma 2 2 3 3 2" xfId="1080" xr:uid="{04C424AF-9820-409C-A965-301B5994AD61}"/>
    <cellStyle name="Comma 2 2 4" xfId="1081" xr:uid="{9D6F73AA-C5B6-4D38-9BC0-293EFCB0D75F}"/>
    <cellStyle name="Comma 2 2 4 2" xfId="1082" xr:uid="{7C55B046-2CD7-4BF9-AA6C-1BAE2DA39588}"/>
    <cellStyle name="Comma 2 2 4 2 2" xfId="1083" xr:uid="{6BEDEFF4-0313-4985-9200-382DF09EC53B}"/>
    <cellStyle name="Comma 2 2 4 3" xfId="1084" xr:uid="{B28A6C25-E068-436A-9739-A3EC95B7B040}"/>
    <cellStyle name="Comma 2 2 4 3 2" xfId="1085" xr:uid="{A6AE8795-0F32-432B-83B6-7D89184647BD}"/>
    <cellStyle name="Comma 2 2 5" xfId="1086" xr:uid="{ECF189A6-1E72-49C9-86F6-C8D0640DCA24}"/>
    <cellStyle name="Comma 2 2 5 2" xfId="1087" xr:uid="{0E39406E-47A2-4A88-AD8C-BF0D74BCA72E}"/>
    <cellStyle name="Comma 2 2 5 2 2" xfId="1088" xr:uid="{FAD89C15-F9B7-4325-9F56-93ADEC98E0B4}"/>
    <cellStyle name="Comma 2 2 5 3" xfId="1089" xr:uid="{619A8EDF-8AC5-4252-8C36-65183A4E08AE}"/>
    <cellStyle name="Comma 2 2 5 3 2" xfId="1090" xr:uid="{63837214-D224-4B8F-87A2-7F231D654DD6}"/>
    <cellStyle name="Comma 2 2 6" xfId="1091" xr:uid="{F74C7B27-6588-4BF4-8CDF-A8105E77050E}"/>
    <cellStyle name="Comma 2 2 6 2" xfId="1092" xr:uid="{F241FE4C-E1B0-40E1-99D1-FD1AC0AE3477}"/>
    <cellStyle name="Comma 2 2 6 2 2" xfId="1093" xr:uid="{5E7B20F8-2FC3-4DBB-86AC-4E8886C0B3B8}"/>
    <cellStyle name="Comma 2 2 6 2 2 2" xfId="1094" xr:uid="{F437B8CE-1CD0-42DB-8F23-C7F6F05028C5}"/>
    <cellStyle name="Comma 2 2 6 2 3" xfId="1095" xr:uid="{EB744CFB-87B8-4CE4-AA0D-04007C7F26C2}"/>
    <cellStyle name="Comma 2 2 6 2 3 2" xfId="1096" xr:uid="{327D5D3E-6FFA-42E1-B315-F76DB3C5DA2B}"/>
    <cellStyle name="Comma 2 2 7" xfId="1097" xr:uid="{4928C3A3-3BB8-4233-BC09-EDB190433007}"/>
    <cellStyle name="Comma 2 2 7 2" xfId="1098" xr:uid="{47550C0D-A3A9-4F26-9A26-137EEAEDB469}"/>
    <cellStyle name="Comma 2 2 8" xfId="1099" xr:uid="{C687B4C8-4E07-49BB-B8D7-9D6517EE9EF3}"/>
    <cellStyle name="Comma 2 2 8 2" xfId="1100" xr:uid="{D3B9ECC1-E362-4334-A84F-8929B865DA34}"/>
    <cellStyle name="Comma 2 2 9" xfId="1101" xr:uid="{89F2AFBB-3C4B-41D5-8795-749B55D5EA9B}"/>
    <cellStyle name="Comma 2 20" xfId="1042" xr:uid="{31C771A9-B167-4799-90F1-19D39260A896}"/>
    <cellStyle name="Comma 2 3" xfId="1102" xr:uid="{EE0C3F00-DFFA-4574-A6C9-4962FBADAE34}"/>
    <cellStyle name="Comma 2 3 2" xfId="1103" xr:uid="{D2D508C3-7232-4862-8DE3-7AD834838440}"/>
    <cellStyle name="Comma 2 3 2 2" xfId="1104" xr:uid="{69DD02BF-BE5E-4BCF-B49C-353724947C78}"/>
    <cellStyle name="Comma 2 3 2 2 2" xfId="1105" xr:uid="{4E4E9E82-2738-409E-8F9B-F88A9A78DE00}"/>
    <cellStyle name="Comma 2 3 2 3" xfId="1106" xr:uid="{306BDB45-13C9-4FD4-B9BC-C5152351D540}"/>
    <cellStyle name="Comma 2 3 2 3 2" xfId="1107" xr:uid="{EFF91E13-85A9-4663-AC3D-CD07A7A64DA8}"/>
    <cellStyle name="Comma 2 3 3" xfId="1108" xr:uid="{B4388BB0-5E5D-4CFD-8394-3841D9034FE4}"/>
    <cellStyle name="Comma 2 3 3 2" xfId="1109" xr:uid="{3FD28654-067C-49F8-BF07-EE428F3C6FE2}"/>
    <cellStyle name="Comma 2 3 3 2 2" xfId="1110" xr:uid="{D3D34857-C3B1-4687-98B3-1C6559C2C8EA}"/>
    <cellStyle name="Comma 2 3 3 3" xfId="1111" xr:uid="{DF51C632-DA5B-4055-AB42-9D1EFC530860}"/>
    <cellStyle name="Comma 2 3 3 3 2" xfId="1112" xr:uid="{A07F93AE-4424-4535-82EA-3ADEE5E6D82C}"/>
    <cellStyle name="Comma 2 3 4" xfId="1113" xr:uid="{A0EA15A5-A529-4029-8F68-7FD760F9F9B3}"/>
    <cellStyle name="Comma 2 3 4 2" xfId="1114" xr:uid="{8BD7CF95-5565-4DE5-A8EC-56E350F8A502}"/>
    <cellStyle name="Comma 2 3 5" xfId="1115" xr:uid="{7CBD0CC7-FB5A-4C00-926F-A8E0075EFFF4}"/>
    <cellStyle name="Comma 2 3 5 2" xfId="1116" xr:uid="{190F9405-8F99-4F3A-8C28-96902D0BD6F6}"/>
    <cellStyle name="Comma 2 3 6" xfId="1117" xr:uid="{CE7FD38A-02F9-4B80-AC71-63963AA5F1FA}"/>
    <cellStyle name="Comma 2 3 7" xfId="1118" xr:uid="{6A19FFFA-DCD2-4173-AFF3-ADABB50BC102}"/>
    <cellStyle name="Comma 2 4" xfId="1119" xr:uid="{D7F4CA28-FFE5-4587-9AD6-297E593B34C0}"/>
    <cellStyle name="Comma 2 4 2" xfId="1120" xr:uid="{EB3C045F-B76A-4A28-AB04-2FC873A5FCA2}"/>
    <cellStyle name="Comma 2 4 2 2" xfId="1121" xr:uid="{C3E2FFBC-09AD-433B-B102-517737734915}"/>
    <cellStyle name="Comma 2 4 2 2 2" xfId="1122" xr:uid="{0FE90AD1-344A-4347-9E3E-D4D41581B864}"/>
    <cellStyle name="Comma 2 4 2 3" xfId="1123" xr:uid="{AAE78631-E8F0-4B12-8B60-2EB1692C5B50}"/>
    <cellStyle name="Comma 2 4 2 3 2" xfId="1124" xr:uid="{B0149EFF-8C1F-4DF3-BD43-7B33AA691A05}"/>
    <cellStyle name="Comma 2 4 3" xfId="1125" xr:uid="{6CED570F-2DA2-468E-BEC5-3234E1EAD21B}"/>
    <cellStyle name="Comma 2 4 3 2" xfId="1126" xr:uid="{205D4B62-110E-42F1-8256-4ABBD589C0A2}"/>
    <cellStyle name="Comma 2 4 3 2 2" xfId="1127" xr:uid="{539C557D-B754-400A-985B-FA3E852D6394}"/>
    <cellStyle name="Comma 2 4 3 3" xfId="1128" xr:uid="{E9C9686B-CAB8-4C3D-A204-931ABAF8752C}"/>
    <cellStyle name="Comma 2 4 3 3 2" xfId="1129" xr:uid="{8E742568-CDC5-40B4-8CCF-AAE964042ED2}"/>
    <cellStyle name="Comma 2 4 4" xfId="1130" xr:uid="{35ABE675-A755-4249-B29C-D6254364FB7F}"/>
    <cellStyle name="Comma 2 4 5" xfId="1131" xr:uid="{1981AA0D-AAD2-48BF-BDDA-662251694B93}"/>
    <cellStyle name="Comma 2 5" xfId="1132" xr:uid="{DDE98E21-2762-4908-9803-5073E788149B}"/>
    <cellStyle name="Comma 2 5 2" xfId="1133" xr:uid="{3B32E58B-DF6B-4CEC-B7E7-EBA05039FEC4}"/>
    <cellStyle name="Comma 2 5 3" xfId="1134" xr:uid="{0AF8D119-5C3F-4CFF-8CC9-0D04866C9404}"/>
    <cellStyle name="Comma 2 6" xfId="1135" xr:uid="{CD6791FD-98D5-47C8-A873-B5885296C796}"/>
    <cellStyle name="Comma 2 6 2" xfId="1136" xr:uid="{49E7F17F-9856-49FC-A0E6-CA3FA20FAF5E}"/>
    <cellStyle name="Comma 2 6 2 2" xfId="1137" xr:uid="{937E83AC-80D4-4AC1-9B09-843223E122DD}"/>
    <cellStyle name="Comma 2 6 3" xfId="1138" xr:uid="{CD7543D5-2B1A-42BC-8C40-B643B63AC57E}"/>
    <cellStyle name="Comma 2 6 3 2" xfId="1139" xr:uid="{5BEB36FF-7A8D-45D1-BB3B-EBF5F925481B}"/>
    <cellStyle name="Comma 2 6 4" xfId="1140" xr:uid="{49885E18-F1F9-4B81-8ED0-40EDB791A0A4}"/>
    <cellStyle name="Comma 2 6 5" xfId="1141" xr:uid="{A7C48E54-19F0-44CB-9E43-BB7B33FB2C0A}"/>
    <cellStyle name="Comma 2 7" xfId="1142" xr:uid="{FC1E8653-BF74-4E71-B20C-0A5E72D55F07}"/>
    <cellStyle name="Comma 2 7 2" xfId="1143" xr:uid="{7464F870-5CB2-4420-AD48-121F8C4E9E5B}"/>
    <cellStyle name="Comma 2 7 2 2" xfId="1144" xr:uid="{C4BE2C27-354A-4371-952A-1DAD41F4CD04}"/>
    <cellStyle name="Comma 2 7 3" xfId="1145" xr:uid="{8883E7E6-5799-47C9-8C1C-7664B2DE7B6D}"/>
    <cellStyle name="Comma 2 7 3 2" xfId="1146" xr:uid="{763D39ED-4E38-47F8-9336-D46B039E836C}"/>
    <cellStyle name="Comma 2 7 4" xfId="1147" xr:uid="{AAAADAA2-C18F-4AF8-801C-B70AC9460786}"/>
    <cellStyle name="Comma 2 7 5" xfId="1148" xr:uid="{76E56E63-9AD6-4629-91F4-86F80456351C}"/>
    <cellStyle name="Comma 2 8" xfId="1149" xr:uid="{E3A46779-1D79-40AF-A4D0-BBE7611450F6}"/>
    <cellStyle name="Comma 2 8 2" xfId="1150" xr:uid="{84CA8737-8A00-4ED2-8A6B-4603C737E8C1}"/>
    <cellStyle name="Comma 2 8 2 2" xfId="1151" xr:uid="{A4CBE9A9-9746-4BE9-A44B-E8348DF065B8}"/>
    <cellStyle name="Comma 2 8 3" xfId="1152" xr:uid="{70B90AA7-C0C0-4EE2-8A7C-17678B8D8987}"/>
    <cellStyle name="Comma 2 8 3 2" xfId="1153" xr:uid="{B8155DDD-E235-4F28-8ACF-81896671FFDD}"/>
    <cellStyle name="Comma 2 8 4" xfId="1154" xr:uid="{2A38F620-8104-4440-B99B-C8F3BA4D1EE5}"/>
    <cellStyle name="Comma 2 9" xfId="1155" xr:uid="{707A3421-4CC2-4016-8E72-B312B51C9458}"/>
    <cellStyle name="Comma 20" xfId="1156" xr:uid="{075B70CC-0D2A-465E-B1B8-950ECB6644AE}"/>
    <cellStyle name="Comma 3" xfId="59" xr:uid="{EF586D2C-770D-4AB1-B8D7-D1A1E560101A}"/>
    <cellStyle name="Comma 3 2" xfId="42" xr:uid="{07E00456-756A-4356-A977-D098F5319EE3}"/>
    <cellStyle name="Comma 3 2 2" xfId="1159" xr:uid="{7BE9C502-CC87-4CCB-AF11-A84DDCCE3FA6}"/>
    <cellStyle name="Comma 3 2 2 2" xfId="1160" xr:uid="{921F0ADA-D0C5-4B7D-A019-B14ABE13DBD1}"/>
    <cellStyle name="Comma 3 2 2 3" xfId="1161" xr:uid="{1F4E2CB7-7EEC-4266-969D-F0BC01D7D3D3}"/>
    <cellStyle name="Comma 3 2 3" xfId="1162" xr:uid="{4AA2E070-AD95-46B2-AC25-78B21573CBBB}"/>
    <cellStyle name="Comma 3 2 3 2" xfId="1163" xr:uid="{F5BFD860-D32C-46EC-A427-082E7243F1BB}"/>
    <cellStyle name="Comma 3 2 4" xfId="1158" xr:uid="{362F160E-8541-41D9-ACC4-817545513517}"/>
    <cellStyle name="Comma 3 3" xfId="38" xr:uid="{2982291B-FC12-4D01-900C-7A65149756A5}"/>
    <cellStyle name="Comma 3 3 2" xfId="1165" xr:uid="{7EF0BC21-9878-4117-9793-EC339A7DBD2A}"/>
    <cellStyle name="Comma 3 3 3" xfId="1166" xr:uid="{39F21F9A-928C-406E-B311-720E779BFC6E}"/>
    <cellStyle name="Comma 3 3 4" xfId="1164" xr:uid="{73251720-2795-4134-9CC3-8011077C8E54}"/>
    <cellStyle name="Comma 3 4" xfId="1167" xr:uid="{94FE4362-19E7-4280-B8E2-8E40E3C81C48}"/>
    <cellStyle name="Comma 3 4 2" xfId="1168" xr:uid="{181C013E-5EC7-4AEB-8BF5-B39D13E8C4B8}"/>
    <cellStyle name="Comma 3 4 3" xfId="1169" xr:uid="{642DC043-7B7E-4A6D-8708-CC052312CD3C}"/>
    <cellStyle name="Comma 3 5" xfId="1170" xr:uid="{42485348-11EC-4818-B7E0-0231E1F05634}"/>
    <cellStyle name="Comma 3 6" xfId="1157" xr:uid="{9020BAE2-354F-49C1-9F2A-7944EDD6DCDE}"/>
    <cellStyle name="Comma 4" xfId="60" xr:uid="{6D0480B3-68AC-4BD3-B763-FB302E8A10C4}"/>
    <cellStyle name="Comma 4 2" xfId="44" xr:uid="{FC254C22-34F1-4B67-8891-390EFE8B9C83}"/>
    <cellStyle name="Comma 4 3" xfId="1171" xr:uid="{25AB64DB-D7E1-4422-B6DD-0835B853E02D}"/>
    <cellStyle name="Comma 5" xfId="39" xr:uid="{A4B90FED-52C9-4377-B046-084382C5DAB7}"/>
    <cellStyle name="Comma 5 2" xfId="36" xr:uid="{267A5CD9-F517-491A-A9B0-5FEA83AE87A1}"/>
    <cellStyle name="Comma 5 3" xfId="1172" xr:uid="{FA526AEB-A495-4EFC-9D30-2C9B28A9D02A}"/>
    <cellStyle name="Comma 6" xfId="46" xr:uid="{894BEBDE-C7D2-4670-94A1-5D5DAF496A58}"/>
    <cellStyle name="Comma 6 2" xfId="45" xr:uid="{A1D3B767-539B-487A-AC15-4674BC64977B}"/>
    <cellStyle name="Comma 6 2 2" xfId="1175" xr:uid="{C9186A74-CFB7-49F9-B444-ABCAF986A88C}"/>
    <cellStyle name="Comma 6 2 3" xfId="1174" xr:uid="{8D20B4F1-6622-41B0-8A17-AB05B8EA0D4E}"/>
    <cellStyle name="Comma 6 3" xfId="1176" xr:uid="{5A4236C9-D148-4EB2-84A0-CEFBECB07F75}"/>
    <cellStyle name="Comma 6 3 2" xfId="1177" xr:uid="{59E21BB3-032C-4F7C-86B9-5AC5E8EF1877}"/>
    <cellStyle name="Comma 6 4" xfId="1173" xr:uid="{0730AF0D-358A-45CA-880B-06683D6A2F2F}"/>
    <cellStyle name="Comma 7" xfId="1178" xr:uid="{6123DA61-8666-47D3-A237-3D92C8682C95}"/>
    <cellStyle name="Comma 7 2" xfId="1179" xr:uid="{C531CABB-A584-42B8-9520-CAC5BB6D5BE5}"/>
    <cellStyle name="Comma 7 2 2" xfId="1180" xr:uid="{F732F8CE-9C0B-4931-BE3D-4AFD3C059633}"/>
    <cellStyle name="Comma 7 3" xfId="1181" xr:uid="{7D98D11C-DABB-452A-AF1B-D25BFF3FBE96}"/>
    <cellStyle name="Comma 7 3 2" xfId="1182" xr:uid="{5EEF2060-4661-4FD1-8E13-E50B621E19E1}"/>
    <cellStyle name="Comma 8" xfId="64" xr:uid="{DC9DCF83-68A5-4D1E-9B57-CBDAD5CE8B16}"/>
    <cellStyle name="Comma 8 2" xfId="1183" xr:uid="{1F73F27E-BA72-4D67-9A3F-3D9CB5770AC3}"/>
    <cellStyle name="Comma 9" xfId="1184" xr:uid="{798B24BD-B267-4C53-B8AA-88DF99A7EFB0}"/>
    <cellStyle name="Comma 9 2" xfId="1185" xr:uid="{2C4F892A-4245-4AF2-9AA3-660AF5DF567B}"/>
    <cellStyle name="Commentaire" xfId="1186" xr:uid="{A0831F46-6C92-428B-8C58-C9D56FADF99A}"/>
    <cellStyle name="Commentaire 10" xfId="1187" xr:uid="{F915710C-F142-42FB-82E0-ABB4DE17F056}"/>
    <cellStyle name="Commentaire 10 2" xfId="1188" xr:uid="{2F5D01C8-AA71-4F4E-8449-B22455909B20}"/>
    <cellStyle name="Commentaire 10 2 2" xfId="2571" xr:uid="{82C07D41-299F-43A8-B296-730592FB8F5F}"/>
    <cellStyle name="Commentaire 10 2 3" xfId="2566" xr:uid="{D03DD777-7399-4F58-AA49-54F4DA44DE27}"/>
    <cellStyle name="Commentaire 10 3" xfId="1189" xr:uid="{0A9CF7E6-F656-4501-997B-0491FAC025A9}"/>
    <cellStyle name="Commentaire 10 3 2" xfId="2572" xr:uid="{DEA486F7-0AC5-4B2E-AF2D-1AD397F49B33}"/>
    <cellStyle name="Commentaire 10 3 3" xfId="2565" xr:uid="{6EF3BC2C-92BE-4DB2-8DB6-ABEE60D580DE}"/>
    <cellStyle name="Commentaire 10 4" xfId="2570" xr:uid="{99A216AD-5FAC-4118-84F5-E09129BEF16C}"/>
    <cellStyle name="Commentaire 10 5" xfId="2567" xr:uid="{D8F5BD1A-CB9B-4EFD-88BB-92B889C13396}"/>
    <cellStyle name="Commentaire 11" xfId="1190" xr:uid="{591A3B2D-DFAD-45CC-B17C-F1C88A2C5806}"/>
    <cellStyle name="Commentaire 11 2" xfId="1191" xr:uid="{EBE9C1A9-1A92-495A-984F-9BC4919A8058}"/>
    <cellStyle name="Commentaire 11 2 2" xfId="2574" xr:uid="{6CF1E171-61EA-4A7E-984F-0D687E53C0B7}"/>
    <cellStyle name="Commentaire 11 2 3" xfId="2563" xr:uid="{E77CC29B-8F01-4C82-9294-14AB118985EC}"/>
    <cellStyle name="Commentaire 11 3" xfId="1192" xr:uid="{1890A949-E01E-4F5E-A78D-08A35C1F38D7}"/>
    <cellStyle name="Commentaire 11 3 2" xfId="2575" xr:uid="{516ECD78-BA3E-4CC6-9055-06F2362AD101}"/>
    <cellStyle name="Commentaire 11 3 3" xfId="2562" xr:uid="{865AD9DC-7567-4572-B438-410A3DADF242}"/>
    <cellStyle name="Commentaire 11 4" xfId="2573" xr:uid="{F4FEF6EF-BCF1-433D-BA92-D52998FFFC96}"/>
    <cellStyle name="Commentaire 11 5" xfId="2564" xr:uid="{DA0169D8-610A-4C4A-BEAF-A083E43190C4}"/>
    <cellStyle name="Commentaire 12" xfId="1193" xr:uid="{6FD7BCB2-0061-4F86-A33D-767523D03A76}"/>
    <cellStyle name="Commentaire 12 2" xfId="1194" xr:uid="{9A50F13D-A968-45E7-B26C-4FBA6D59D0F4}"/>
    <cellStyle name="Commentaire 12 2 2" xfId="2577" xr:uid="{1DE039DE-6F3B-4FEE-9D46-7DAD0858ACE7}"/>
    <cellStyle name="Commentaire 12 2 3" xfId="2560" xr:uid="{28C770D0-7006-4420-9E56-63EFC33C9BF8}"/>
    <cellStyle name="Commentaire 12 3" xfId="1195" xr:uid="{ABAEF26E-CD09-49FF-B1F3-F96485E2ACCD}"/>
    <cellStyle name="Commentaire 12 3 2" xfId="2578" xr:uid="{ED66BB44-BEDB-4E1B-A832-FD265C81BB72}"/>
    <cellStyle name="Commentaire 12 3 3" xfId="2559" xr:uid="{4C7D02E2-4980-4408-882B-25DEA2FB47E6}"/>
    <cellStyle name="Commentaire 12 4" xfId="2576" xr:uid="{4838EA0C-06FA-4E7A-8252-82164F128829}"/>
    <cellStyle name="Commentaire 12 5" xfId="2561" xr:uid="{014E029E-90F8-4CC8-AA77-69A103694A55}"/>
    <cellStyle name="Commentaire 13" xfId="1196" xr:uid="{82682CE7-D7CA-4F8C-B78D-B524D4CC16A7}"/>
    <cellStyle name="Commentaire 13 2" xfId="1197" xr:uid="{082EBE6D-9E12-4C96-97EB-3A3DDD1442C3}"/>
    <cellStyle name="Commentaire 13 2 2" xfId="2580" xr:uid="{79B64547-A789-4121-A74A-1DF36C5A4F07}"/>
    <cellStyle name="Commentaire 13 2 3" xfId="2557" xr:uid="{CB5D39B8-CF36-4AF3-B958-4A1552A23953}"/>
    <cellStyle name="Commentaire 13 3" xfId="1198" xr:uid="{F7B2C96E-60B0-4692-841E-933759CC91D6}"/>
    <cellStyle name="Commentaire 13 3 2" xfId="2581" xr:uid="{D4647B07-491E-4DC2-BF0B-7576541877F0}"/>
    <cellStyle name="Commentaire 13 3 3" xfId="2556" xr:uid="{EB9B893D-5529-4BEA-BF4D-1BDD2054EED3}"/>
    <cellStyle name="Commentaire 13 4" xfId="2579" xr:uid="{4124C5C5-6904-4C86-99B5-92FF97B73842}"/>
    <cellStyle name="Commentaire 13 5" xfId="2558" xr:uid="{0E430BE6-CAC1-47B4-AE42-EEE69891D480}"/>
    <cellStyle name="Commentaire 14" xfId="1199" xr:uid="{8A0F3DED-438B-4E1C-9C61-20BC27A8A5BF}"/>
    <cellStyle name="Commentaire 14 2" xfId="1200" xr:uid="{0DADE2B8-EB4B-49C3-AA6B-38B22D844FEF}"/>
    <cellStyle name="Commentaire 14 2 2" xfId="2583" xr:uid="{5F5565CF-E1B5-4784-A7D2-9BD9A3644B50}"/>
    <cellStyle name="Commentaire 14 2 3" xfId="2554" xr:uid="{70FB4196-9A56-46EF-B0D6-3AED7D6FFF00}"/>
    <cellStyle name="Commentaire 14 3" xfId="1201" xr:uid="{5EB0A4A3-4B70-45DD-B46A-C7B1A57F1693}"/>
    <cellStyle name="Commentaire 14 3 2" xfId="2584" xr:uid="{9F8746A4-BB7B-4BD7-9599-E4562F467158}"/>
    <cellStyle name="Commentaire 14 3 3" xfId="2553" xr:uid="{BB8E27B4-A09A-4B8C-90C5-2D3C2DDCA4D3}"/>
    <cellStyle name="Commentaire 14 4" xfId="2582" xr:uid="{ADEC49DF-FB8E-43EC-BB2A-71625B814220}"/>
    <cellStyle name="Commentaire 14 5" xfId="2555" xr:uid="{FA77E1D5-05DA-4F3E-B827-1BAAD38FFBEB}"/>
    <cellStyle name="Commentaire 15" xfId="1202" xr:uid="{A04940E7-EC8D-40AA-8977-A9A59AC2E4AE}"/>
    <cellStyle name="Commentaire 15 2" xfId="1203" xr:uid="{5119F550-99A4-4CA2-AE23-31CCDAF1895F}"/>
    <cellStyle name="Commentaire 15 2 2" xfId="2586" xr:uid="{06299232-6448-4FCD-B777-D2E76C3589E9}"/>
    <cellStyle name="Commentaire 15 2 3" xfId="2551" xr:uid="{9B6069F1-D12D-4BE8-85FB-3089D53D60B8}"/>
    <cellStyle name="Commentaire 15 3" xfId="1204" xr:uid="{4AA3519F-B85F-42B9-8010-497775E0F9F4}"/>
    <cellStyle name="Commentaire 15 3 2" xfId="2587" xr:uid="{1BBE9BD3-938E-42D1-B122-D69D5B7779F4}"/>
    <cellStyle name="Commentaire 15 3 3" xfId="2550" xr:uid="{0CB57CEE-C8E9-48C6-8860-C7952459739D}"/>
    <cellStyle name="Commentaire 15 4" xfId="2585" xr:uid="{1E953F6F-5FA7-4BAA-8CEC-834A63CBE60C}"/>
    <cellStyle name="Commentaire 15 5" xfId="2552" xr:uid="{29510344-22D0-4FBE-801C-5DD7A5EFF101}"/>
    <cellStyle name="Commentaire 16" xfId="1205" xr:uid="{7535EB7F-E469-49E4-A494-9A6BC84941A9}"/>
    <cellStyle name="Commentaire 16 2" xfId="1206" xr:uid="{C8E984F4-AD01-4B15-B194-3FF0F0442A51}"/>
    <cellStyle name="Commentaire 16 2 2" xfId="2589" xr:uid="{E765CA6A-7527-44A3-802F-D72C4B154E72}"/>
    <cellStyle name="Commentaire 16 2 3" xfId="2548" xr:uid="{1AE2965F-4C32-48E4-8614-3C111795E62B}"/>
    <cellStyle name="Commentaire 16 3" xfId="1207" xr:uid="{B4073065-6460-404B-BDAC-58E629269720}"/>
    <cellStyle name="Commentaire 16 3 2" xfId="2590" xr:uid="{CEEFCBF3-F41B-42BF-BB96-E2BC443836D5}"/>
    <cellStyle name="Commentaire 16 3 3" xfId="2547" xr:uid="{4DAB0619-98DA-435F-ADB9-2A5AA0587FBA}"/>
    <cellStyle name="Commentaire 16 4" xfId="2588" xr:uid="{AFED24F4-A359-44AC-81D8-639C591C995D}"/>
    <cellStyle name="Commentaire 16 5" xfId="2549" xr:uid="{515A4C58-BAB6-4CBB-928E-172EDFCB0B92}"/>
    <cellStyle name="Commentaire 17" xfId="1208" xr:uid="{D50E3A5D-FB67-4C2F-A1B4-1E3703183D99}"/>
    <cellStyle name="Commentaire 17 2" xfId="1209" xr:uid="{07A7F6FD-9967-43C2-AF46-974B188729E1}"/>
    <cellStyle name="Commentaire 17 2 2" xfId="2592" xr:uid="{E5237677-8F2E-4864-8B5E-6042DC28827D}"/>
    <cellStyle name="Commentaire 17 2 3" xfId="2545" xr:uid="{894DF06A-BC03-4901-BA6A-D3068BD7EECC}"/>
    <cellStyle name="Commentaire 17 3" xfId="1210" xr:uid="{AC0D41E8-F661-4326-9332-028477023B75}"/>
    <cellStyle name="Commentaire 17 3 2" xfId="2593" xr:uid="{905CB512-AFD2-4B05-AEE7-0E2FC9E535DE}"/>
    <cellStyle name="Commentaire 17 3 3" xfId="2544" xr:uid="{25E5C6BF-3A01-4DBC-832A-8468398019BE}"/>
    <cellStyle name="Commentaire 17 4" xfId="2591" xr:uid="{FFF97646-D709-474C-A8E1-759DAAEF0B5A}"/>
    <cellStyle name="Commentaire 17 5" xfId="2546" xr:uid="{E90B20B8-18F2-4ACF-9324-43ECFF0F3C46}"/>
    <cellStyle name="Commentaire 18" xfId="1211" xr:uid="{7819B5B3-855E-4875-BBF2-0803D42DCE45}"/>
    <cellStyle name="Commentaire 18 2" xfId="1212" xr:uid="{A2EE81A4-E6E3-4EB3-A715-2D8ABE3D41A6}"/>
    <cellStyle name="Commentaire 18 2 2" xfId="2595" xr:uid="{79C82386-0738-4605-A7F5-BD1407A43F26}"/>
    <cellStyle name="Commentaire 18 2 3" xfId="2542" xr:uid="{914E8557-0C0A-4CFE-AC8B-4A3AF3C74E9C}"/>
    <cellStyle name="Commentaire 18 3" xfId="1213" xr:uid="{46EF4033-1CFB-4346-AC41-5CE1EBD69E79}"/>
    <cellStyle name="Commentaire 18 3 2" xfId="2596" xr:uid="{E9A9A58E-662D-4D42-92E1-31E504AE97D0}"/>
    <cellStyle name="Commentaire 18 3 3" xfId="2541" xr:uid="{0AA0577F-B00F-4037-9DEE-EB93950CCD52}"/>
    <cellStyle name="Commentaire 18 4" xfId="2594" xr:uid="{37A6A791-B20C-402E-B3AA-DB7A857E4793}"/>
    <cellStyle name="Commentaire 18 5" xfId="2543" xr:uid="{FB90D635-9DEC-4820-A11C-1535278E1F83}"/>
    <cellStyle name="Commentaire 19" xfId="1214" xr:uid="{A0875B57-7B99-4C83-A9EB-687709294683}"/>
    <cellStyle name="Commentaire 19 2" xfId="1215" xr:uid="{5F5C3112-459B-4544-9C97-395C4DD3AFF2}"/>
    <cellStyle name="Commentaire 19 2 2" xfId="2598" xr:uid="{C787C72F-F26F-48D4-AA85-EF2BA51DB0AB}"/>
    <cellStyle name="Commentaire 19 2 3" xfId="2539" xr:uid="{EEDF59E1-548C-4789-BF1A-FC11634CE7A4}"/>
    <cellStyle name="Commentaire 19 3" xfId="1216" xr:uid="{C688B2FF-1BE3-4FEE-8850-C93F8EEDD8F2}"/>
    <cellStyle name="Commentaire 19 3 2" xfId="2599" xr:uid="{C3D57F95-CD6E-40DB-A898-0B8280C378D1}"/>
    <cellStyle name="Commentaire 19 3 3" xfId="2538" xr:uid="{749405B9-2A35-4BBA-9725-6904063184B9}"/>
    <cellStyle name="Commentaire 19 4" xfId="2597" xr:uid="{24F7BBA9-6A33-42D9-88E9-17D3F51F47A6}"/>
    <cellStyle name="Commentaire 19 5" xfId="2540" xr:uid="{9A4F0024-BADC-404B-8087-F75E8E5883FA}"/>
    <cellStyle name="Commentaire 2" xfId="1217" xr:uid="{F9A8548E-B7B7-4BE8-B541-6D63184BBAEB}"/>
    <cellStyle name="Commentaire 2 2" xfId="1218" xr:uid="{B6230780-733D-446E-866E-59F467861F3C}"/>
    <cellStyle name="Commentaire 2 2 2" xfId="2601" xr:uid="{4A0FD286-8E74-41B3-B778-332EC6BA62BE}"/>
    <cellStyle name="Commentaire 2 2 3" xfId="2536" xr:uid="{B345BBD2-3FD4-4DDC-BE40-8F95411AAD85}"/>
    <cellStyle name="Commentaire 2 3" xfId="1219" xr:uid="{147D7EBB-CBC6-4EFD-B748-E68B144E26F6}"/>
    <cellStyle name="Commentaire 2 3 2" xfId="2602" xr:uid="{DB52CD08-0FFB-47F6-945A-AAE8D7D21C53}"/>
    <cellStyle name="Commentaire 2 3 3" xfId="2535" xr:uid="{96416566-5B7E-44F1-8D26-0E998D1CE4E4}"/>
    <cellStyle name="Commentaire 2 4" xfId="2600" xr:uid="{215FAB9F-BF49-4775-86DE-B2970B111765}"/>
    <cellStyle name="Commentaire 2 5" xfId="2537" xr:uid="{E3B8C6E2-0DC2-4325-94C3-3D86906B1DA1}"/>
    <cellStyle name="Commentaire 20" xfId="1220" xr:uid="{C57DD028-D2F5-4660-B5CA-53B1690811E5}"/>
    <cellStyle name="Commentaire 20 2" xfId="1221" xr:uid="{5287EF56-38F2-43A0-BBDE-378CD777A47A}"/>
    <cellStyle name="Commentaire 20 2 2" xfId="2604" xr:uid="{CB6084E3-B424-4C29-AC01-95237D14AE34}"/>
    <cellStyle name="Commentaire 20 2 3" xfId="2533" xr:uid="{45A6DBFC-260B-42EF-88E7-BF375A1BCB16}"/>
    <cellStyle name="Commentaire 20 3" xfId="1222" xr:uid="{41F85AFF-135D-417D-8910-C779EF64B442}"/>
    <cellStyle name="Commentaire 20 3 2" xfId="2605" xr:uid="{A2D9B4F5-4880-4965-954D-590723AB78B2}"/>
    <cellStyle name="Commentaire 20 3 3" xfId="2532" xr:uid="{3CBFE208-6182-4913-A668-0CF428CB0F0C}"/>
    <cellStyle name="Commentaire 20 4" xfId="2603" xr:uid="{A994E974-35DB-4F9C-9E23-B5F59D79357C}"/>
    <cellStyle name="Commentaire 20 5" xfId="2534" xr:uid="{51944A10-CB20-43D2-AAC8-E97AFC991D5D}"/>
    <cellStyle name="Commentaire 21" xfId="1223" xr:uid="{4B2A785E-DDE7-4EDB-8564-4F0AF64D040A}"/>
    <cellStyle name="Commentaire 21 2" xfId="1224" xr:uid="{C55CD044-3734-4724-8F29-C14B578133A8}"/>
    <cellStyle name="Commentaire 21 2 2" xfId="2607" xr:uid="{8ACAECEE-BC17-4470-A5DD-B4804A715A5E}"/>
    <cellStyle name="Commentaire 21 2 3" xfId="2530" xr:uid="{32B2F027-82C0-4578-B1D6-B8C01BAC0682}"/>
    <cellStyle name="Commentaire 21 3" xfId="1225" xr:uid="{D98F803F-5E80-48D0-B629-AD22E501CA47}"/>
    <cellStyle name="Commentaire 21 3 2" xfId="2608" xr:uid="{D10375E8-D866-4592-B9FC-E1FD30302056}"/>
    <cellStyle name="Commentaire 21 3 3" xfId="2529" xr:uid="{30763368-B535-437E-B499-A682DFF85D4A}"/>
    <cellStyle name="Commentaire 21 4" xfId="2606" xr:uid="{1A000543-C52E-4015-877B-CB577C48AA47}"/>
    <cellStyle name="Commentaire 21 5" xfId="2531" xr:uid="{C2EB5544-C75B-4955-940E-134D2B0F8361}"/>
    <cellStyle name="Commentaire 22" xfId="1226" xr:uid="{FF8E3F44-415A-4761-B298-F3315D60E6F9}"/>
    <cellStyle name="Commentaire 22 2" xfId="1227" xr:uid="{9098AE75-2ECD-45CE-94CA-461D59C6FEDD}"/>
    <cellStyle name="Commentaire 22 2 2" xfId="2610" xr:uid="{1EFF701F-AD2D-4850-B2D4-5E0EC6F6634E}"/>
    <cellStyle name="Commentaire 22 2 3" xfId="2527" xr:uid="{919583A0-E944-42A7-852B-D41A7B480241}"/>
    <cellStyle name="Commentaire 22 3" xfId="1228" xr:uid="{1EC24A5E-F352-43BF-AAC9-D81C9F4FACD0}"/>
    <cellStyle name="Commentaire 22 3 2" xfId="2611" xr:uid="{06AC86E3-0495-487F-982C-B06E80C9F2DD}"/>
    <cellStyle name="Commentaire 22 3 3" xfId="2526" xr:uid="{103868FD-7369-4C73-95E9-86F4C8D40962}"/>
    <cellStyle name="Commentaire 22 4" xfId="2609" xr:uid="{F9D217A7-355A-490B-BFA0-A3157075A84C}"/>
    <cellStyle name="Commentaire 22 5" xfId="2528" xr:uid="{3D9A4B26-DEFB-4572-B527-3BC8EF602C14}"/>
    <cellStyle name="Commentaire 23" xfId="1229" xr:uid="{7B4DFCF0-A776-4729-8CAA-C7C79E578B3F}"/>
    <cellStyle name="Commentaire 23 2" xfId="1230" xr:uid="{F7D002BE-4229-42E9-80AF-466D5F18E45C}"/>
    <cellStyle name="Commentaire 23 2 2" xfId="2613" xr:uid="{FA78FF6A-A8E7-4306-AB24-D87C00B89428}"/>
    <cellStyle name="Commentaire 23 2 3" xfId="2524" xr:uid="{C129B38E-944C-4E72-B99D-5F5009787996}"/>
    <cellStyle name="Commentaire 23 3" xfId="1231" xr:uid="{4E4CD4B4-F40F-4D7B-8A1C-26026165C39D}"/>
    <cellStyle name="Commentaire 23 3 2" xfId="2614" xr:uid="{54C7FBC1-C116-4B0C-A346-CFC4BDADDCD9}"/>
    <cellStyle name="Commentaire 23 3 3" xfId="2523" xr:uid="{78571CFF-D54A-4780-87E8-B00750F8D3E7}"/>
    <cellStyle name="Commentaire 23 4" xfId="2612" xr:uid="{76156761-DC5F-493A-9770-68FE77794445}"/>
    <cellStyle name="Commentaire 23 5" xfId="2525" xr:uid="{E1B570EE-0C79-4BF7-B8AB-6ED3A8F6A162}"/>
    <cellStyle name="Commentaire 24" xfId="1232" xr:uid="{8CEA9CB6-B74C-45E1-AC1B-FF4735AEA6AD}"/>
    <cellStyle name="Commentaire 24 2" xfId="1233" xr:uid="{20DEF412-8B6F-4596-A02F-8836DD8A1E52}"/>
    <cellStyle name="Commentaire 24 2 2" xfId="2616" xr:uid="{18DC97BA-56CF-4490-AE4A-C1429EA38174}"/>
    <cellStyle name="Commentaire 24 2 3" xfId="2521" xr:uid="{81B554E0-B3D2-489C-8D77-6A603A0BA47D}"/>
    <cellStyle name="Commentaire 24 3" xfId="1234" xr:uid="{C36914D7-8D5C-4724-9E1C-1CA6201633F4}"/>
    <cellStyle name="Commentaire 24 3 2" xfId="2617" xr:uid="{0DAE4EE5-CB4B-44DC-B3A2-DFD1CE3C9FF4}"/>
    <cellStyle name="Commentaire 24 3 3" xfId="2520" xr:uid="{8B9D09DC-1E82-48DC-B3CF-DB83C30076BB}"/>
    <cellStyle name="Commentaire 24 4" xfId="2615" xr:uid="{91712855-4420-4367-975D-7B864A90FF10}"/>
    <cellStyle name="Commentaire 24 5" xfId="2522" xr:uid="{B7FD609F-6DAB-4901-870D-6836781F90A8}"/>
    <cellStyle name="Commentaire 25" xfId="1235" xr:uid="{1FD86DF8-FD05-4AF4-810A-F8D89A85EDC9}"/>
    <cellStyle name="Commentaire 25 2" xfId="1236" xr:uid="{CA291578-352D-4994-AD2F-F4611DA8F1C9}"/>
    <cellStyle name="Commentaire 25 2 2" xfId="2619" xr:uid="{25587041-49F8-4242-A15A-9866CE740D6C}"/>
    <cellStyle name="Commentaire 25 2 3" xfId="2518" xr:uid="{0832B490-EEB1-4B9F-A76F-BFDE272777CA}"/>
    <cellStyle name="Commentaire 25 3" xfId="1237" xr:uid="{C2A95734-B211-4121-A189-9DA3AE8840CA}"/>
    <cellStyle name="Commentaire 25 3 2" xfId="2620" xr:uid="{864177D2-CB7C-4EA5-9C41-A30F5AC69E94}"/>
    <cellStyle name="Commentaire 25 3 3" xfId="2424" xr:uid="{69018812-5665-4772-90C0-F8BCBFF7825D}"/>
    <cellStyle name="Commentaire 25 4" xfId="2618" xr:uid="{08124C86-FE20-4359-A17E-A99A22806B70}"/>
    <cellStyle name="Commentaire 25 5" xfId="2519" xr:uid="{E91C5562-EA0B-4F34-B51D-FE4F4A114A2D}"/>
    <cellStyle name="Commentaire 26" xfId="1238" xr:uid="{21922D7D-96D2-4DE4-9DF9-8A4D0C5E022A}"/>
    <cellStyle name="Commentaire 26 2" xfId="1239" xr:uid="{876B05E2-7D96-43F2-BEE6-082BAD2E4D3D}"/>
    <cellStyle name="Commentaire 26 2 2" xfId="2622" xr:uid="{C6CD4CBD-FD8C-40DC-A3CA-AC453C70D754}"/>
    <cellStyle name="Commentaire 26 2 3" xfId="2516" xr:uid="{DF8044B7-21B5-4096-B678-29E9A8386D92}"/>
    <cellStyle name="Commentaire 26 3" xfId="1240" xr:uid="{38B7DCDF-1995-4E16-97F1-093B0202EFD3}"/>
    <cellStyle name="Commentaire 26 3 2" xfId="2623" xr:uid="{F1768389-1B38-45DC-8D7C-236022E9F4CB}"/>
    <cellStyle name="Commentaire 26 3 3" xfId="2515" xr:uid="{E5A6D74C-B5C1-435D-BA16-0C79D1CC2220}"/>
    <cellStyle name="Commentaire 26 4" xfId="2621" xr:uid="{03DE16E4-D2C7-4B07-8010-B6809FFE0F42}"/>
    <cellStyle name="Commentaire 26 5" xfId="2517" xr:uid="{BAAD44D4-8840-4F16-8078-E36E78585150}"/>
    <cellStyle name="Commentaire 27" xfId="1241" xr:uid="{6E027512-E742-4918-90AD-3DA9C80D9E8A}"/>
    <cellStyle name="Commentaire 27 2" xfId="1242" xr:uid="{83D803B7-E587-4C3B-A26B-0D575F4DA661}"/>
    <cellStyle name="Commentaire 27 2 2" xfId="2625" xr:uid="{52DA14F5-6391-4A3B-9B10-DE788CC038A4}"/>
    <cellStyle name="Commentaire 27 2 3" xfId="2513" xr:uid="{99AF2869-0D30-48E7-8767-D96652B71058}"/>
    <cellStyle name="Commentaire 27 3" xfId="1243" xr:uid="{C6BE2D0D-8789-4746-9102-7D8EE79C1479}"/>
    <cellStyle name="Commentaire 27 3 2" xfId="2626" xr:uid="{9664FAF1-5486-4F1B-9E13-5B9825D88DA4}"/>
    <cellStyle name="Commentaire 27 3 3" xfId="2512" xr:uid="{25E3BB03-098E-41D2-94BD-639F9C5CD89F}"/>
    <cellStyle name="Commentaire 27 4" xfId="2624" xr:uid="{7C54FE03-F142-44C5-BDA6-6D120847B386}"/>
    <cellStyle name="Commentaire 27 5" xfId="2514" xr:uid="{0BA7AB7A-115F-4226-9EF6-8D8F75C386CB}"/>
    <cellStyle name="Commentaire 28" xfId="1244" xr:uid="{4D9BEC3E-C21F-42B6-BCD1-ABAC16ABCAA0}"/>
    <cellStyle name="Commentaire 28 2" xfId="1245" xr:uid="{48FB138C-3ABE-4A96-BFAF-504556E9800E}"/>
    <cellStyle name="Commentaire 28 2 2" xfId="2628" xr:uid="{1320040A-2D17-41B5-AFEC-A8746DE900FC}"/>
    <cellStyle name="Commentaire 28 2 3" xfId="2510" xr:uid="{85E52FE9-3771-41A9-9DD4-12F4D6B5DC17}"/>
    <cellStyle name="Commentaire 28 3" xfId="1246" xr:uid="{5D255237-7E4C-459A-B882-B0A208B355DC}"/>
    <cellStyle name="Commentaire 28 3 2" xfId="2629" xr:uid="{4F506A20-80CC-4753-91F5-FA63EECA4D1C}"/>
    <cellStyle name="Commentaire 28 3 3" xfId="2509" xr:uid="{FAEE5768-EE69-4038-95EB-3535914B9A4D}"/>
    <cellStyle name="Commentaire 28 4" xfId="2627" xr:uid="{EF90B355-E052-4924-8538-18D6A9A418EE}"/>
    <cellStyle name="Commentaire 28 5" xfId="2511" xr:uid="{691A8CAF-AE33-48E1-97A0-A8368F502D73}"/>
    <cellStyle name="Commentaire 29" xfId="1247" xr:uid="{B12BF4E1-C260-4DBB-A0E5-C32AA28754BB}"/>
    <cellStyle name="Commentaire 29 2" xfId="1248" xr:uid="{06003619-C8BA-4109-9955-076E651ECC5A}"/>
    <cellStyle name="Commentaire 29 2 2" xfId="2631" xr:uid="{213A2B96-BF32-45DA-8013-DD2FD12CE7CE}"/>
    <cellStyle name="Commentaire 29 2 3" xfId="2507" xr:uid="{85A59D5F-D226-47FE-A643-4D92D0788C9F}"/>
    <cellStyle name="Commentaire 29 3" xfId="1249" xr:uid="{7A02A7E5-3D2D-4FBE-8D2A-143EED5D1267}"/>
    <cellStyle name="Commentaire 29 3 2" xfId="2632" xr:uid="{25EA7367-B331-49D5-ADD1-B01D9FF15B9F}"/>
    <cellStyle name="Commentaire 29 3 3" xfId="2506" xr:uid="{ED098595-65DF-49FD-A43B-8F1F6B32B056}"/>
    <cellStyle name="Commentaire 29 4" xfId="2630" xr:uid="{7EE6ECDA-CBF1-48E8-9CC2-C27632D7D57B}"/>
    <cellStyle name="Commentaire 29 5" xfId="2508" xr:uid="{AA361DA8-0CF6-46FF-958C-998831BB8721}"/>
    <cellStyle name="Commentaire 3" xfId="1250" xr:uid="{1634D6A5-4AC8-4483-9683-DBBD43B3964C}"/>
    <cellStyle name="Commentaire 3 2" xfId="1251" xr:uid="{C1110CF7-6443-4D92-9097-4E404922E608}"/>
    <cellStyle name="Commentaire 3 2 2" xfId="2634" xr:uid="{95B6AED0-C3A6-4E67-A1E3-4505D6169B0B}"/>
    <cellStyle name="Commentaire 3 2 3" xfId="2504" xr:uid="{3C6FD4C6-8122-4EE2-80DB-486748285604}"/>
    <cellStyle name="Commentaire 3 3" xfId="1252" xr:uid="{13B52BCA-F108-4F31-A25B-3BBE8C34D04F}"/>
    <cellStyle name="Commentaire 3 3 2" xfId="2635" xr:uid="{D296963C-E939-4219-9D5C-67ED328B65D6}"/>
    <cellStyle name="Commentaire 3 3 3" xfId="2503" xr:uid="{E08FBBD0-093F-4B79-8AF9-B12274EE8890}"/>
    <cellStyle name="Commentaire 3 4" xfId="2633" xr:uid="{A2031C68-A399-47CB-B38D-8BB07E44A4EA}"/>
    <cellStyle name="Commentaire 3 5" xfId="2505" xr:uid="{DF6A3CFD-15C0-4DD4-B697-EFF965756AA9}"/>
    <cellStyle name="Commentaire 30" xfId="2569" xr:uid="{026A4C22-AD13-4983-84C5-1CFFD3287D04}"/>
    <cellStyle name="Commentaire 31" xfId="2568" xr:uid="{258D99D4-A02C-4EB0-BC95-F88D0927B804}"/>
    <cellStyle name="Commentaire 4" xfId="1253" xr:uid="{2604C9B2-3D82-4F1B-A836-B2E9B3053C1D}"/>
    <cellStyle name="Commentaire 4 2" xfId="1254" xr:uid="{11A952B0-2F63-409D-AB21-358665C05232}"/>
    <cellStyle name="Commentaire 4 2 2" xfId="2637" xr:uid="{60A85DA5-2CA5-4663-A6B5-24C0C9F3C0E0}"/>
    <cellStyle name="Commentaire 4 2 3" xfId="2501" xr:uid="{2371622E-19DB-46D6-9D75-1153B13E9979}"/>
    <cellStyle name="Commentaire 4 3" xfId="1255" xr:uid="{70173320-8122-45CF-BCEB-3D6472E6CBFD}"/>
    <cellStyle name="Commentaire 4 3 2" xfId="2638" xr:uid="{C7CCFED6-3077-4988-BD3A-F0F978FCC735}"/>
    <cellStyle name="Commentaire 4 3 3" xfId="2500" xr:uid="{2DE4345B-41C2-4143-8DFC-D8798711DDF9}"/>
    <cellStyle name="Commentaire 4 4" xfId="2636" xr:uid="{30FB1F3D-9938-48BA-A12E-9F2CEDA512F9}"/>
    <cellStyle name="Commentaire 4 5" xfId="2502" xr:uid="{9C93873C-C8D3-4AB0-9903-C9EC6062E92C}"/>
    <cellStyle name="Commentaire 5" xfId="1256" xr:uid="{7CEE28A0-0E7D-4058-A24E-856ECC166803}"/>
    <cellStyle name="Commentaire 5 2" xfId="1257" xr:uid="{CFC03D69-3716-467D-94D7-61A66D73828A}"/>
    <cellStyle name="Commentaire 5 2 2" xfId="2640" xr:uid="{CE665A8B-23D4-4564-8DC6-475175E0DB26}"/>
    <cellStyle name="Commentaire 5 2 3" xfId="2498" xr:uid="{A7FC617B-8E7C-4A48-BDAF-4C007C256585}"/>
    <cellStyle name="Commentaire 5 3" xfId="1258" xr:uid="{AA3770F4-E5DB-4696-A114-64E7EDF2B47D}"/>
    <cellStyle name="Commentaire 5 3 2" xfId="2641" xr:uid="{41C17FFC-06BC-446B-88A9-7C7022B15AE6}"/>
    <cellStyle name="Commentaire 5 3 3" xfId="2497" xr:uid="{0639349B-83C9-49BC-B813-688DBA899248}"/>
    <cellStyle name="Commentaire 5 4" xfId="2639" xr:uid="{F47F38AD-22D5-4ECC-9F18-D41F18B5F4D2}"/>
    <cellStyle name="Commentaire 5 5" xfId="2499" xr:uid="{3BADEE73-386F-4CB8-B957-2C40A769227F}"/>
    <cellStyle name="Commentaire 6" xfId="1259" xr:uid="{9A8ED34F-4BAF-4DB2-A64F-590DB950587C}"/>
    <cellStyle name="Commentaire 6 2" xfId="1260" xr:uid="{7512B785-B1FE-4145-934C-014A6818B675}"/>
    <cellStyle name="Commentaire 6 2 2" xfId="2643" xr:uid="{712AC9B5-FEA9-4FB4-9025-681155A3A364}"/>
    <cellStyle name="Commentaire 6 2 3" xfId="2495" xr:uid="{F94C305A-4429-4E87-A789-38CE31C7C895}"/>
    <cellStyle name="Commentaire 6 3" xfId="1261" xr:uid="{BF35A6A6-6653-4C2C-8D09-C356E69F3BCA}"/>
    <cellStyle name="Commentaire 6 3 2" xfId="2644" xr:uid="{75A9AE1D-080E-4266-A766-F193891CF607}"/>
    <cellStyle name="Commentaire 6 3 3" xfId="2494" xr:uid="{D367D17D-76AE-4D57-A154-C7F90E86BE09}"/>
    <cellStyle name="Commentaire 6 4" xfId="2642" xr:uid="{2825D608-BAE4-4D2C-8DE6-F2AB749A54B5}"/>
    <cellStyle name="Commentaire 6 5" xfId="2496" xr:uid="{AB01514C-3367-427F-A3AF-E0BD75A6A084}"/>
    <cellStyle name="Commentaire 7" xfId="1262" xr:uid="{7BF5EF87-FB47-4C5A-8231-0CAAB1C9C937}"/>
    <cellStyle name="Commentaire 7 2" xfId="1263" xr:uid="{84B967E4-0E9D-4230-A50D-4F1E5B24290F}"/>
    <cellStyle name="Commentaire 7 2 2" xfId="2646" xr:uid="{2A9F19A5-9654-4E05-98D8-CCA9BF821543}"/>
    <cellStyle name="Commentaire 7 2 3" xfId="2492" xr:uid="{55C90F47-718C-4DF4-9330-0A664631D54B}"/>
    <cellStyle name="Commentaire 7 3" xfId="1264" xr:uid="{7DD9D8A9-3FC7-4023-AC15-58EE32A6AA1A}"/>
    <cellStyle name="Commentaire 7 3 2" xfId="2647" xr:uid="{3ED8AE2E-23A3-4E71-AB2E-8B56B0A764F4}"/>
    <cellStyle name="Commentaire 7 3 3" xfId="2491" xr:uid="{3BF3D9A0-2DAE-49BF-B96D-447CA035BE5D}"/>
    <cellStyle name="Commentaire 7 4" xfId="2645" xr:uid="{EF5EFD17-A6DA-4006-B382-7812A1BE38B0}"/>
    <cellStyle name="Commentaire 7 5" xfId="2493" xr:uid="{263FF883-0704-4000-8D27-DCB3F5AF45EE}"/>
    <cellStyle name="Commentaire 8" xfId="1265" xr:uid="{0890248E-0188-4F99-800F-2FDD77E65784}"/>
    <cellStyle name="Commentaire 8 2" xfId="1266" xr:uid="{39B2B37D-772A-41E7-A9F4-4AA834549D78}"/>
    <cellStyle name="Commentaire 8 2 2" xfId="2649" xr:uid="{2C4A00AF-ECAA-45AF-AE88-2822B14DD22D}"/>
    <cellStyle name="Commentaire 8 2 3" xfId="2490" xr:uid="{5EF77A48-13B8-496D-AF7E-8BBD0466E515}"/>
    <cellStyle name="Commentaire 8 3" xfId="1267" xr:uid="{4A92A30E-C13F-4E25-8FC2-C66F8AB17563}"/>
    <cellStyle name="Commentaire 8 3 2" xfId="2650" xr:uid="{F4A49A11-716F-4F66-B904-928B3C6B09DF}"/>
    <cellStyle name="Commentaire 8 3 3" xfId="2489" xr:uid="{F2C80F98-541C-4D71-8721-7C7E12FC6C5E}"/>
    <cellStyle name="Commentaire 8 4" xfId="2648" xr:uid="{D7C5C365-1CC8-42B7-AB9E-2BA08C1D27B5}"/>
    <cellStyle name="Commentaire 8 5" xfId="2423" xr:uid="{E2A291E9-AB2B-4963-A2CC-8820534E8E8A}"/>
    <cellStyle name="Commentaire 9" xfId="1268" xr:uid="{FBB0F6C4-F388-487E-9DF4-4CAF01C139D4}"/>
    <cellStyle name="Commentaire 9 2" xfId="1269" xr:uid="{580F1537-F6E8-4745-B94B-C3B2E5B76C53}"/>
    <cellStyle name="Commentaire 9 2 2" xfId="2652" xr:uid="{DEA3E8AD-01F1-4A80-96D9-3465FD4B04E3}"/>
    <cellStyle name="Commentaire 9 2 3" xfId="2487" xr:uid="{692B6215-43A3-4963-9F96-DC21BFF1B95E}"/>
    <cellStyle name="Commentaire 9 3" xfId="1270" xr:uid="{349880C5-F3DD-4544-9995-FE624E26DFB4}"/>
    <cellStyle name="Commentaire 9 3 2" xfId="2653" xr:uid="{7BF66C10-8759-489F-A8B4-D37D04A14FC3}"/>
    <cellStyle name="Commentaire 9 3 3" xfId="2486" xr:uid="{16552E50-6296-4CC3-A9D9-3DE303B80D39}"/>
    <cellStyle name="Commentaire 9 4" xfId="2651" xr:uid="{F7E59FBD-BF8C-4E0B-9339-7B083E140296}"/>
    <cellStyle name="Commentaire 9 5" xfId="2488" xr:uid="{9AD6F302-2A39-4279-9B1D-BDB92FAA354F}"/>
    <cellStyle name="DataCell" xfId="1271" xr:uid="{61A67C87-92BC-4E40-ABBB-9A1E3ACE30C2}"/>
    <cellStyle name="Date" xfId="1272" xr:uid="{80A4BE87-E075-497A-900B-D4A3199B1906}"/>
    <cellStyle name="Date 2" xfId="1273" xr:uid="{3E65547A-544A-463F-99A0-2E2D706AA64A}"/>
    <cellStyle name="Date 3" xfId="1274" xr:uid="{D83CFA1E-4B87-4E33-B3E1-48255F5246E7}"/>
    <cellStyle name="Decimal 1" xfId="1275" xr:uid="{74E13581-30AC-4506-A1F4-E566B0E979A9}"/>
    <cellStyle name="Decimal 2" xfId="1276" xr:uid="{0C443CF7-40AF-4622-9BB3-D1F735C1C97C}"/>
    <cellStyle name="Decimal 3" xfId="1277" xr:uid="{0DDEC6BD-60CD-437E-9264-525344780930}"/>
    <cellStyle name="Decimal 3 2" xfId="1278" xr:uid="{BF6BF6A7-A1B7-4B93-A9C9-F3D81D579FFB}"/>
    <cellStyle name="Decimal 3 3" xfId="1279" xr:uid="{1E6E04D8-89F6-4064-85C4-A56AF5C3BBCB}"/>
    <cellStyle name="Define your own named style" xfId="1280" xr:uid="{E0815080-902A-43EA-BCAC-977C30CC6C8D}"/>
    <cellStyle name="Dezimal [0]_31.01.96" xfId="1281" xr:uid="{45B30E62-AC9D-4640-A273-F731436A46B8}"/>
    <cellStyle name="Dezimal_31.01.96" xfId="1282" xr:uid="{B54DCF8B-CC45-4BCE-A92B-B7CDAE85AC5D}"/>
    <cellStyle name="Draw lines around data in range" xfId="1283" xr:uid="{9D9275C8-5CA1-497B-9CEB-BCF890BB7268}"/>
    <cellStyle name="Draw lines around data in range 2" xfId="2654" xr:uid="{B442B2A4-CBEB-496C-9C0A-BA6C04E3BBA9}"/>
    <cellStyle name="Draw lines around data in range 3" xfId="2485" xr:uid="{37A34579-030E-4809-8D5E-3C5F8A7D75A7}"/>
    <cellStyle name="Draw shadow and lines within range" xfId="1284" xr:uid="{E5BC17AE-CD4B-4A88-97CE-531CFBC65930}"/>
    <cellStyle name="Draw shadow and lines within range 2" xfId="2655" xr:uid="{5E51F5FA-6156-43C5-98E5-330F77FE82F9}"/>
    <cellStyle name="Draw shadow and lines within range 3" xfId="2484" xr:uid="{A17D011C-2750-4709-B226-CA76B8122A74}"/>
    <cellStyle name="Eingabe" xfId="1285" xr:uid="{D7DE1B2B-C7B2-4DC4-A5F3-502F93364CBF}"/>
    <cellStyle name="Eingabe 2" xfId="2656" xr:uid="{DAEA1852-EE6E-4FD2-A68D-0E3846A3CA8A}"/>
    <cellStyle name="Eingabe 3" xfId="2483" xr:uid="{46587D16-11BF-4BAE-B21B-20324FC56BE0}"/>
    <cellStyle name="EmptyCell" xfId="1286" xr:uid="{6EA25A86-1830-4744-B211-A35AD8B30D02}"/>
    <cellStyle name="EmptyCell 2" xfId="1287" xr:uid="{B21B61FF-8898-424F-AD7C-87F0168F6B65}"/>
    <cellStyle name="EmptyCell_Copy of non prop AMICEPK" xfId="1288" xr:uid="{02E8C842-A439-442A-9B67-D1E62885CC1D}"/>
    <cellStyle name="Enlarge title text, yellow on blue" xfId="1289" xr:uid="{2D0D07BF-FC87-4A3E-A8C2-AE73519C1E51}"/>
    <cellStyle name="Entrée" xfId="1290" xr:uid="{CED3E12F-AA37-4520-9EC0-975EC2A1ECB6}"/>
    <cellStyle name="Entrée 2" xfId="2657" xr:uid="{68FB9420-3C71-4B49-A4CA-819820E09854}"/>
    <cellStyle name="Entrée 3" xfId="2482" xr:uid="{C3F3FEAF-DB46-4DFB-AC23-B2F172DB8950}"/>
    <cellStyle name="Ergebnis" xfId="1291" xr:uid="{8ADDF1E6-1CC2-42FF-AA16-03B0C162CBC6}"/>
    <cellStyle name="Ergebnis 2" xfId="2658" xr:uid="{6A1939A7-A8CF-4A8F-9D0B-141541DD78F5}"/>
    <cellStyle name="Ergebnis 3" xfId="2481" xr:uid="{78074A27-2111-4315-8FCB-DC9E9D6A3797}"/>
    <cellStyle name="Erklärender Text" xfId="1292" xr:uid="{C8FB4DDC-9B0C-41F6-91B9-4F06074C2D12}"/>
    <cellStyle name="Euro" xfId="1293" xr:uid="{CF90CA53-1879-4BF3-A927-12E3C9518E8C}"/>
    <cellStyle name="Euro 10" xfId="1294" xr:uid="{E6B4F4C2-E0CE-4EA8-8B8E-6DA55E842F8A}"/>
    <cellStyle name="Euro 10 2" xfId="1295" xr:uid="{D0A51DA6-BD08-4512-91EC-01A03196BDC0}"/>
    <cellStyle name="Euro 10 3" xfId="1296" xr:uid="{B5B100DF-6A8C-4430-A1FB-69F8EC5D7CDF}"/>
    <cellStyle name="Euro 11" xfId="1297" xr:uid="{E45FC654-C07E-4261-ACFA-11D329604AE2}"/>
    <cellStyle name="Euro 11 2" xfId="1298" xr:uid="{A069D3A4-4B93-4A1F-9B0B-127B92399A17}"/>
    <cellStyle name="Euro 11 3" xfId="1299" xr:uid="{A0DA78FB-C1F0-4F62-860C-857BD42B78A6}"/>
    <cellStyle name="Euro 12" xfId="1300" xr:uid="{7C7A2060-4AF3-46F3-8966-4333C5A595E3}"/>
    <cellStyle name="Euro 12 2" xfId="1301" xr:uid="{566025D5-4942-4C52-8374-ACF2E11B2629}"/>
    <cellStyle name="Euro 12 3" xfId="1302" xr:uid="{5C1DC8A3-FB6B-43B7-8671-09B22D08BC48}"/>
    <cellStyle name="Euro 13" xfId="1303" xr:uid="{5D8E01BC-B87B-4452-9F39-8B8558F2C6B7}"/>
    <cellStyle name="Euro 13 2" xfId="1304" xr:uid="{A7353BE1-4E07-4DAB-A1B1-7542625ECD32}"/>
    <cellStyle name="Euro 13 3" xfId="1305" xr:uid="{729FB099-739C-4555-9FC0-4721A6D45D69}"/>
    <cellStyle name="Euro 14" xfId="1306" xr:uid="{209B304A-4EF4-430E-A241-85B83760C7F0}"/>
    <cellStyle name="Euro 14 2" xfId="1307" xr:uid="{9E6A28F2-9928-466D-95FA-C61870770E84}"/>
    <cellStyle name="Euro 14 3" xfId="1308" xr:uid="{AAAD0BDC-C5F1-4829-83E0-373B2D0B11F0}"/>
    <cellStyle name="Euro 15" xfId="1309" xr:uid="{820378DC-4C62-4756-BCBE-E7AED7CB0A80}"/>
    <cellStyle name="Euro 15 2" xfId="1310" xr:uid="{1E6A9177-2D6B-4A9A-A1DC-7FD4687213AF}"/>
    <cellStyle name="Euro 15 3" xfId="1311" xr:uid="{8BD46547-4721-4D82-90EB-B8942CBC08F5}"/>
    <cellStyle name="Euro 16" xfId="1312" xr:uid="{11551C94-7669-4390-9147-BFFC70E5E977}"/>
    <cellStyle name="Euro 16 2" xfId="1313" xr:uid="{10465AB8-B212-4958-B262-7B5EB95E713D}"/>
    <cellStyle name="Euro 16 3" xfId="1314" xr:uid="{0BE2A229-B120-4FC7-8EC1-AE57C3A56546}"/>
    <cellStyle name="Euro 17" xfId="1315" xr:uid="{1393E7C6-9D12-4279-AA6C-207C6100474A}"/>
    <cellStyle name="Euro 17 2" xfId="1316" xr:uid="{81CA6143-86C8-4221-B02F-410496A394A9}"/>
    <cellStyle name="Euro 17 3" xfId="1317" xr:uid="{BD938589-3A7C-480C-AEB9-A5373E7FACE6}"/>
    <cellStyle name="Euro 18" xfId="1318" xr:uid="{AF4E98E9-B18E-4DAA-82CC-10C70015AFE3}"/>
    <cellStyle name="Euro 18 2" xfId="1319" xr:uid="{230AE639-E6B7-4E02-91C6-A1FC16826F29}"/>
    <cellStyle name="Euro 18 3" xfId="1320" xr:uid="{CD5B195B-783B-45A4-96FB-7F5CFAC885E5}"/>
    <cellStyle name="Euro 19" xfId="1321" xr:uid="{38C4E82A-C5E8-4C87-B3AA-00E5BD1AE7EC}"/>
    <cellStyle name="Euro 19 2" xfId="1322" xr:uid="{AB54041C-9008-416F-B604-60BFC82B5876}"/>
    <cellStyle name="Euro 19 3" xfId="1323" xr:uid="{A0372A68-E9A6-4F84-AC2C-87CF9093FFA4}"/>
    <cellStyle name="Euro 2" xfId="1324" xr:uid="{87AA2690-2D71-486C-A032-C7A1D84C2F45}"/>
    <cellStyle name="Euro 2 2" xfId="1325" xr:uid="{81DE3F15-FD6F-4508-B68F-7DB151B225D0}"/>
    <cellStyle name="Euro 2 3" xfId="1326" xr:uid="{5BAF0267-2709-486D-895E-23227645B53F}"/>
    <cellStyle name="Euro 20" xfId="1327" xr:uid="{E9BBAB02-6BBE-498D-B665-5DC2AE6D000B}"/>
    <cellStyle name="Euro 20 2" xfId="1328" xr:uid="{171F81DA-1BE5-4CD4-8B8C-318CD750B9D2}"/>
    <cellStyle name="Euro 20 3" xfId="1329" xr:uid="{6FB90993-0ACA-4A90-9790-16958DF921FF}"/>
    <cellStyle name="Euro 21" xfId="1330" xr:uid="{1BC88ECA-288E-49FA-9851-2C46C2D6FB9A}"/>
    <cellStyle name="Euro 21 2" xfId="1331" xr:uid="{8C8FBCBF-FA05-432F-BD91-E61565354BE7}"/>
    <cellStyle name="Euro 21 3" xfId="1332" xr:uid="{D22144A9-C4F4-40DB-815C-57A164B59C75}"/>
    <cellStyle name="Euro 22" xfId="1333" xr:uid="{8DBDEB53-E25A-4315-9604-C3F02ACA7323}"/>
    <cellStyle name="Euro 22 2" xfId="1334" xr:uid="{ACD48958-94B3-4870-AABA-63378F7EA33F}"/>
    <cellStyle name="Euro 22 3" xfId="1335" xr:uid="{51EAEFB6-31E2-40A6-AEE8-6E43A55A9B56}"/>
    <cellStyle name="Euro 23" xfId="1336" xr:uid="{CF74EED1-9BDF-4C37-9AEE-784734A5AF9F}"/>
    <cellStyle name="Euro 23 2" xfId="1337" xr:uid="{EBF7F23E-44A5-4E07-BB03-9BA3BF68AF01}"/>
    <cellStyle name="Euro 23 3" xfId="1338" xr:uid="{F1F9CAE3-B72C-47BC-8112-AF60980553A9}"/>
    <cellStyle name="Euro 24" xfId="1339" xr:uid="{CD03D7AF-63AA-40D7-BB09-0AFDE08A1B2D}"/>
    <cellStyle name="Euro 24 2" xfId="1340" xr:uid="{4613415A-A408-488A-B6B6-2206CDA51F48}"/>
    <cellStyle name="Euro 24 3" xfId="1341" xr:uid="{B672A45B-D161-4BD4-8AEE-9E2F324F3043}"/>
    <cellStyle name="Euro 25" xfId="1342" xr:uid="{393D2A3E-833B-47AF-BDBE-8DE02D234D09}"/>
    <cellStyle name="Euro 25 2" xfId="1343" xr:uid="{C341CD04-A9F0-4AC0-8462-A84B14799CCF}"/>
    <cellStyle name="Euro 25 3" xfId="1344" xr:uid="{680C7CB9-6EE8-4D11-8C47-D577218F5E95}"/>
    <cellStyle name="Euro 26" xfId="1345" xr:uid="{AAE4BA2C-E46B-4B66-BADE-6D1E85C3DDC5}"/>
    <cellStyle name="Euro 26 2" xfId="1346" xr:uid="{A8B65F1B-4787-4AE6-B065-F73B06CC114F}"/>
    <cellStyle name="Euro 26 3" xfId="1347" xr:uid="{206F987F-451A-4857-ADAF-44CF5170DFFA}"/>
    <cellStyle name="Euro 27" xfId="1348" xr:uid="{E4FEFB36-B8A4-4FD9-9555-2AC3D09B71A5}"/>
    <cellStyle name="Euro 27 2" xfId="1349" xr:uid="{A3F7202E-F2A3-4548-9D41-38792C978501}"/>
    <cellStyle name="Euro 27 3" xfId="1350" xr:uid="{F1A79D32-65B7-4C96-98EF-39A6350D3125}"/>
    <cellStyle name="Euro 28" xfId="1351" xr:uid="{A06F08B3-E8E8-41F0-A678-2001221016FC}"/>
    <cellStyle name="Euro 28 2" xfId="1352" xr:uid="{37778857-B8AA-4FE2-BD01-71F843FAE144}"/>
    <cellStyle name="Euro 28 3" xfId="1353" xr:uid="{AF422055-AA12-4349-9BCF-D24AD09DAEDA}"/>
    <cellStyle name="Euro 29" xfId="1354" xr:uid="{BDCB0B2C-8327-498B-83A4-7A5EB69A1659}"/>
    <cellStyle name="Euro 29 2" xfId="1355" xr:uid="{B3FE011E-CCAE-4480-BA1D-AAF795050B02}"/>
    <cellStyle name="Euro 29 3" xfId="1356" xr:uid="{69BE7122-2971-4381-8CCF-3130EB933D1A}"/>
    <cellStyle name="Euro 3" xfId="1357" xr:uid="{FEBA7A42-3C90-4389-83CB-597CDC4FEE11}"/>
    <cellStyle name="Euro 3 2" xfId="1358" xr:uid="{2B245EC8-5908-49F1-9214-979802206FEF}"/>
    <cellStyle name="Euro 3 3" xfId="1359" xr:uid="{88DB2A7D-2ADF-4E43-AE49-72783FB8D1A7}"/>
    <cellStyle name="Euro 30" xfId="1360" xr:uid="{B817BD35-40A1-44D6-A805-305CC39D4B2C}"/>
    <cellStyle name="Euro 30 2" xfId="1361" xr:uid="{13DC33AA-C9AB-4405-9E7D-F58E742D8D51}"/>
    <cellStyle name="Euro 30 2 2" xfId="1362" xr:uid="{27CE68E0-8B5E-4824-8226-E33477AB1EE9}"/>
    <cellStyle name="Euro 31" xfId="1363" xr:uid="{9600BF68-1593-4BCA-9A58-C59C3F4A7E7E}"/>
    <cellStyle name="Euro 4" xfId="1364" xr:uid="{E29CC43E-F22F-45F5-95EB-0869D9A90C1A}"/>
    <cellStyle name="Euro 4 2" xfId="1365" xr:uid="{445878D2-93D1-4869-B683-09ED3225E5FC}"/>
    <cellStyle name="Euro 4 3" xfId="1366" xr:uid="{BB5E55C3-AD94-46D6-A986-DA9B2700FE8F}"/>
    <cellStyle name="Euro 5" xfId="1367" xr:uid="{3EAE7278-FA8B-446C-8C40-6B6CF9D229E7}"/>
    <cellStyle name="Euro 5 2" xfId="1368" xr:uid="{64188C7E-6E3C-468D-8584-75B152E42D4C}"/>
    <cellStyle name="Euro 5 3" xfId="1369" xr:uid="{F60A8A9D-1F69-4110-98BD-95447221D4DB}"/>
    <cellStyle name="Euro 6" xfId="1370" xr:uid="{12C34F12-EC58-4DB2-8CB7-EB4E9F1F18E2}"/>
    <cellStyle name="Euro 6 2" xfId="1371" xr:uid="{D2EC740A-2277-4052-BBAF-CBDE03A93B09}"/>
    <cellStyle name="Euro 6 3" xfId="1372" xr:uid="{4FEA57C5-A7E7-405D-A70B-193C79AB31B5}"/>
    <cellStyle name="Euro 7" xfId="1373" xr:uid="{003C2B12-B367-4F1A-A73A-C3620CB7E709}"/>
    <cellStyle name="Euro 7 2" xfId="1374" xr:uid="{6091FE12-6BC9-426B-9F99-8402D6C37FD2}"/>
    <cellStyle name="Euro 7 3" xfId="1375" xr:uid="{14C168F9-5AC6-4FCB-BE36-8CD6C5BF80F3}"/>
    <cellStyle name="Euro 8" xfId="1376" xr:uid="{FA357F7C-BAA0-4D6F-84DC-9300DA789984}"/>
    <cellStyle name="Euro 8 2" xfId="1377" xr:uid="{37D4BE31-5900-4B0A-9642-4C30B9B854D1}"/>
    <cellStyle name="Euro 8 3" xfId="1378" xr:uid="{AD308155-62BD-4004-8227-A99EAEFBF7E0}"/>
    <cellStyle name="Euro 9" xfId="1379" xr:uid="{6761D31F-288B-41B4-AF45-8D5F36621DFC}"/>
    <cellStyle name="Euro 9 2" xfId="1380" xr:uid="{3029E15B-4490-4559-8AA7-528E92E388C1}"/>
    <cellStyle name="Euro 9 3" xfId="1381" xr:uid="{7B904EB2-E859-42DA-964B-203810DF3D25}"/>
    <cellStyle name="Exhibit Headings" xfId="1382" xr:uid="{F420A4F9-BB34-4F06-9CFB-D1D2E674CC59}"/>
    <cellStyle name="Explanatory Text" xfId="16" builtinId="53" customBuiltin="1"/>
    <cellStyle name="Explanatory Text 10" xfId="1383" xr:uid="{74CF8A86-F92E-4732-BDF3-D262930BEF35}"/>
    <cellStyle name="Explanatory Text 11" xfId="1384" xr:uid="{142CA813-E698-4105-95F5-C0B06459A9AC}"/>
    <cellStyle name="Explanatory Text 12" xfId="1385" xr:uid="{662B99BA-B08F-41C5-8540-E7E74D431EAA}"/>
    <cellStyle name="Explanatory Text 13" xfId="1386" xr:uid="{C63FA80B-F04F-4271-967B-7116E9C6B590}"/>
    <cellStyle name="Explanatory Text 14" xfId="1387" xr:uid="{BAC8EB11-0547-42CA-A546-55A9FF35B4F3}"/>
    <cellStyle name="Explanatory Text 15" xfId="1388" xr:uid="{1A08D2F3-43F8-40A6-A579-03ED854D93BF}"/>
    <cellStyle name="Explanatory Text 16" xfId="1389" xr:uid="{1D2AA3D2-7443-49C2-A049-4179F223A17F}"/>
    <cellStyle name="Explanatory Text 17" xfId="1390" xr:uid="{DC3D68BB-2582-40BE-A1A0-312A32DBD220}"/>
    <cellStyle name="Explanatory Text 18" xfId="1391" xr:uid="{BC516231-5DC3-4543-891E-2A1CCBE24F79}"/>
    <cellStyle name="Explanatory Text 2" xfId="1392" xr:uid="{03778C84-D78F-4C56-AA24-0540A8FFE34A}"/>
    <cellStyle name="Explanatory Text 3" xfId="1393" xr:uid="{5C9E9D70-C162-4951-8894-886B7B84E2EC}"/>
    <cellStyle name="Explanatory Text 4" xfId="1394" xr:uid="{9167BD57-71D1-4075-AA94-D0D8F4895A66}"/>
    <cellStyle name="Explanatory Text 5" xfId="1395" xr:uid="{BBC93952-5B4A-4E14-9E32-F14A3A221549}"/>
    <cellStyle name="Explanatory Text 6" xfId="1396" xr:uid="{0D15E358-9E5F-49CD-90B6-E6C487A0E1E6}"/>
    <cellStyle name="Explanatory Text 7" xfId="1397" xr:uid="{DCD98084-9F87-4D50-A6D2-6FF59F9DE067}"/>
    <cellStyle name="Explanatory Text 8" xfId="1398" xr:uid="{070B700C-27DC-4166-A32D-B8C353C8F36D}"/>
    <cellStyle name="Explanatory Text 9" xfId="1399" xr:uid="{FDEE2A94-3641-452C-82C6-F9A7D09DE8F9}"/>
    <cellStyle name="Format a column of totals" xfId="1400" xr:uid="{CD88D058-65DC-4A9A-8B97-69744D58467D}"/>
    <cellStyle name="Format a row of totals" xfId="1401" xr:uid="{128E0927-A921-4095-B822-5CE05AC6A216}"/>
    <cellStyle name="Format a row of totals 2" xfId="2663" xr:uid="{7FE5E17D-81B8-4EAF-A93C-F7AFF4C4CD39}"/>
    <cellStyle name="Format a row of totals 3" xfId="2474" xr:uid="{A063AC5E-EE3E-4811-BE45-51C921059E04}"/>
    <cellStyle name="Format text as bold, black on yellow" xfId="1402" xr:uid="{F4ED62ED-B18D-4CF4-823E-B87843BC2966}"/>
    <cellStyle name="Format text as bold, black on yellow 2" xfId="2664" xr:uid="{268543ED-E732-49CD-93F6-30A7DFB2D845}"/>
    <cellStyle name="Format text as bold, black on yellow 3" xfId="2473" xr:uid="{652590A2-D313-4A52-ACF2-DD51E9B08F43}"/>
    <cellStyle name="FRxAmtStyle" xfId="1403" xr:uid="{A70DD2DB-0164-4D8E-BA03-08C500F61B9E}"/>
    <cellStyle name="Good" xfId="7" builtinId="26" customBuiltin="1"/>
    <cellStyle name="Good 10" xfId="1404" xr:uid="{039371AF-56BC-4B11-B487-E2807C4712CF}"/>
    <cellStyle name="Good 11" xfId="1405" xr:uid="{11BAE44B-246C-411F-BAB0-FD1BAE4FC3B0}"/>
    <cellStyle name="Good 12" xfId="1406" xr:uid="{5C2F8753-5EDF-4D7E-AB95-3E242CEB146A}"/>
    <cellStyle name="Good 13" xfId="1407" xr:uid="{7444106D-ED94-4523-BF49-3FD708F27C11}"/>
    <cellStyle name="Good 14" xfId="1408" xr:uid="{4170370F-86B2-490C-9509-23ECFC825372}"/>
    <cellStyle name="Good 15" xfId="1409" xr:uid="{41C3D828-9806-4834-8E64-4D7E000F836A}"/>
    <cellStyle name="Good 16" xfId="1410" xr:uid="{7881EB59-FF6D-4038-9009-A0A55E2E532F}"/>
    <cellStyle name="Good 17" xfId="1411" xr:uid="{2AA477AE-F665-461A-849C-24A66244920B}"/>
    <cellStyle name="Good 18" xfId="1412" xr:uid="{C203D0BA-C28C-4AB3-8E02-8B0CEF8F1CDE}"/>
    <cellStyle name="Good 2" xfId="1413" xr:uid="{A07D9095-EFB5-4E94-B37A-4FC9D16717F0}"/>
    <cellStyle name="Good 3" xfId="1414" xr:uid="{F298DFF4-6D06-4AC5-947C-0F040CA0C2BA}"/>
    <cellStyle name="Good 4" xfId="1415" xr:uid="{63852F1E-B773-45EF-A116-0FBB9BF7547B}"/>
    <cellStyle name="Good 5" xfId="1416" xr:uid="{4D554831-9EE7-4940-BEE9-85F5CC15154A}"/>
    <cellStyle name="Good 6" xfId="1417" xr:uid="{DC4F6DF9-5779-404A-8D04-C8DED87DA750}"/>
    <cellStyle name="Good 7" xfId="1418" xr:uid="{B08C7CFD-26C7-4294-BDFD-2C98523F4A48}"/>
    <cellStyle name="Good 8" xfId="1419" xr:uid="{E1E74E1A-B840-4DE6-B774-23DB6A4EF699}"/>
    <cellStyle name="Good 9" xfId="1420" xr:uid="{9D9FBE08-60F0-4327-B17E-343980273D72}"/>
    <cellStyle name="GrayBar" xfId="1421" xr:uid="{0CAD1ABD-33A1-405F-A0BD-616FE1E20662}"/>
    <cellStyle name="Gut" xfId="1422" xr:uid="{2EEDE5AE-BEEB-4E6D-A971-E236E933EE66}"/>
    <cellStyle name="Heading 1" xfId="3" builtinId="16" customBuiltin="1"/>
    <cellStyle name="Heading 1 10" xfId="1423" xr:uid="{C38DE7A0-AE58-47E0-8D45-96A6DAA53F51}"/>
    <cellStyle name="Heading 1 11" xfId="1424" xr:uid="{F1D466DB-6F59-4D63-95EA-24FED703F737}"/>
    <cellStyle name="Heading 1 12" xfId="1425" xr:uid="{152F17CD-C0A1-49E3-BE6E-52C6D4AAE3E5}"/>
    <cellStyle name="Heading 1 13" xfId="1426" xr:uid="{F3A5BCE9-CEB6-4B34-817B-8191A280B4F4}"/>
    <cellStyle name="Heading 1 14" xfId="1427" xr:uid="{38CB72FA-B1F8-4B7A-A3DD-6D233A2F287B}"/>
    <cellStyle name="Heading 1 15" xfId="1428" xr:uid="{CC1BECD1-B128-4531-B1D5-29CA82254CF2}"/>
    <cellStyle name="Heading 1 16" xfId="1429" xr:uid="{2D70E892-062E-4BAD-AE99-2EAD05B4B1DF}"/>
    <cellStyle name="Heading 1 17" xfId="1430" xr:uid="{FCCE2BD6-6C29-4E32-A052-18C3470F82BF}"/>
    <cellStyle name="Heading 1 18" xfId="1431" xr:uid="{8AF746C2-46AB-4D5E-96C7-5951CA38F7CD}"/>
    <cellStyle name="Heading 1 2" xfId="1432" xr:uid="{BF7EC04E-0DBD-4530-96E2-0C404E1B295A}"/>
    <cellStyle name="Heading 1 3" xfId="1433" xr:uid="{102B8D72-2007-40CE-887C-D4C73DAEB462}"/>
    <cellStyle name="Heading 1 4" xfId="1434" xr:uid="{CAB5D8E7-F990-4CAB-86A8-BA106B468FAD}"/>
    <cellStyle name="Heading 1 5" xfId="1435" xr:uid="{27628271-62A8-4721-B516-239C9A0A3144}"/>
    <cellStyle name="Heading 1 6" xfId="1436" xr:uid="{92160D85-E80C-4C5B-9AEC-B96826B74166}"/>
    <cellStyle name="Heading 1 7" xfId="1437" xr:uid="{683E2CDF-4299-42D1-85B4-D9C05FCD87C1}"/>
    <cellStyle name="Heading 1 8" xfId="1438" xr:uid="{B27E3749-8DB7-4EEB-8E16-1B3B4F9EEA4F}"/>
    <cellStyle name="Heading 1 9" xfId="1439" xr:uid="{626514EA-F0A2-4F95-ADFA-036AA33572EE}"/>
    <cellStyle name="Heading 2" xfId="4" builtinId="17" customBuiltin="1"/>
    <cellStyle name="Heading 2 10" xfId="1440" xr:uid="{AFA14116-61E5-4B5C-BC02-321A220D6515}"/>
    <cellStyle name="Heading 2 11" xfId="1441" xr:uid="{093723AC-4255-481D-87D3-FC61A6D35787}"/>
    <cellStyle name="Heading 2 12" xfId="1442" xr:uid="{CFE41B86-BCAA-4024-9748-3B04E4D35502}"/>
    <cellStyle name="Heading 2 13" xfId="1443" xr:uid="{CE88D9BB-05F0-4A6A-BC9C-50A50163E7FF}"/>
    <cellStyle name="Heading 2 14" xfId="1444" xr:uid="{64E1F987-0EE3-4169-915B-569AC0595420}"/>
    <cellStyle name="Heading 2 15" xfId="1445" xr:uid="{894348A9-EB61-415D-A0C8-968E5A95F8B7}"/>
    <cellStyle name="Heading 2 16" xfId="1446" xr:uid="{2D40C172-D226-4EDF-952E-F22379B076EA}"/>
    <cellStyle name="Heading 2 17" xfId="1447" xr:uid="{DA8CC42E-F87A-4CD3-A2F1-4B4E1049C98B}"/>
    <cellStyle name="Heading 2 18" xfId="1448" xr:uid="{C4FFC21F-28DC-4FBE-970B-1E08C9BCB828}"/>
    <cellStyle name="Heading 2 2" xfId="1449" xr:uid="{4B8F9684-6BEF-4046-A6B8-74E39C5585C9}"/>
    <cellStyle name="Heading 2 3" xfId="1450" xr:uid="{C4A9D5D6-A05D-4BC5-BD3C-3E3C0D15D1CB}"/>
    <cellStyle name="Heading 2 4" xfId="1451" xr:uid="{49AE6983-82F7-4A9D-A2A6-C7B24A838F9C}"/>
    <cellStyle name="Heading 2 5" xfId="1452" xr:uid="{3EDBD1D5-A3F7-4276-8118-25FDD42CF943}"/>
    <cellStyle name="Heading 2 6" xfId="1453" xr:uid="{CD8637D0-5E6F-45CE-85DE-B5221EA5531A}"/>
    <cellStyle name="Heading 2 7" xfId="1454" xr:uid="{EC160B63-D724-408F-97DC-5AF88E65C32D}"/>
    <cellStyle name="Heading 2 8" xfId="1455" xr:uid="{9C47DE21-705D-486D-A5F3-AA4EA872A6EA}"/>
    <cellStyle name="Heading 2 9" xfId="1456" xr:uid="{3E2C432A-9E03-4688-A02A-51B40387E3EB}"/>
    <cellStyle name="Heading 3" xfId="5" builtinId="18" customBuiltin="1"/>
    <cellStyle name="Heading 3 10" xfId="1457" xr:uid="{26F0DCC5-B5F5-4176-93B4-E17A976DD981}"/>
    <cellStyle name="Heading 3 11" xfId="1458" xr:uid="{527A078C-5C13-46DB-89AD-7E878DA5F5DD}"/>
    <cellStyle name="Heading 3 12" xfId="1459" xr:uid="{89D91850-74D1-4633-AF9A-D19B09326F8F}"/>
    <cellStyle name="Heading 3 13" xfId="1460" xr:uid="{557D0C69-8642-405B-9107-C201F85ABA6D}"/>
    <cellStyle name="Heading 3 14" xfId="1461" xr:uid="{69A78DC1-BE18-4952-91DE-B2C8145C9353}"/>
    <cellStyle name="Heading 3 15" xfId="1462" xr:uid="{EAFE612F-87FA-4110-873E-E8E8505C263D}"/>
    <cellStyle name="Heading 3 16" xfId="1463" xr:uid="{1D68FC6E-BFFC-4FDA-8559-8EB524E4A9E1}"/>
    <cellStyle name="Heading 3 17" xfId="1464" xr:uid="{FE2B5673-9108-4844-A3E7-54EAE19D4BB4}"/>
    <cellStyle name="Heading 3 18" xfId="1465" xr:uid="{644722D2-AB7F-41FC-91E1-9DCE44421E61}"/>
    <cellStyle name="Heading 3 2" xfId="1466" xr:uid="{0B0DC47F-16F3-4C71-81D2-10D8958745C1}"/>
    <cellStyle name="Heading 3 3" xfId="1467" xr:uid="{2BB364FC-3D1B-41EB-AD01-0DE5C402BB5A}"/>
    <cellStyle name="Heading 3 4" xfId="1468" xr:uid="{55CE2383-BE0E-4DB5-9BE0-0B2981E8B20A}"/>
    <cellStyle name="Heading 3 5" xfId="1469" xr:uid="{8B05BFA2-6177-44DD-AC28-B278B0AA1939}"/>
    <cellStyle name="Heading 3 6" xfId="1470" xr:uid="{FFE84C9D-3946-40BD-A327-231240207518}"/>
    <cellStyle name="Heading 3 7" xfId="1471" xr:uid="{D74183C4-6197-4A2A-BEE3-4B480EA594BF}"/>
    <cellStyle name="Heading 3 8" xfId="1472" xr:uid="{8FD70D6A-67CD-4460-A3DD-18895A413EE3}"/>
    <cellStyle name="Heading 3 9" xfId="1473" xr:uid="{D3667A5C-8BA2-40B6-99AF-EAB51849ECCB}"/>
    <cellStyle name="Heading 4" xfId="6" builtinId="19" customBuiltin="1"/>
    <cellStyle name="Heading 4 10" xfId="1474" xr:uid="{FD303ECB-F1F8-4732-97C2-6E2F342F038D}"/>
    <cellStyle name="Heading 4 11" xfId="1475" xr:uid="{06713466-A47E-44AF-84B5-FDEB7526CAB9}"/>
    <cellStyle name="Heading 4 12" xfId="1476" xr:uid="{BCD3C603-5B94-45C3-82F7-4D4FE6577D45}"/>
    <cellStyle name="Heading 4 13" xfId="1477" xr:uid="{8C0AF86B-F4EA-4408-9393-84F639826D93}"/>
    <cellStyle name="Heading 4 14" xfId="1478" xr:uid="{1770EFF4-7B10-40AC-8AB7-E8B4793BE2E0}"/>
    <cellStyle name="Heading 4 15" xfId="1479" xr:uid="{679D11F9-1FE2-4334-A44A-A76D87A7E1D1}"/>
    <cellStyle name="Heading 4 16" xfId="1480" xr:uid="{0D6C6837-B914-49B5-9442-C65E19FDBFA4}"/>
    <cellStyle name="Heading 4 17" xfId="1481" xr:uid="{7510FCA2-DB88-4E22-AD42-41285F064FA5}"/>
    <cellStyle name="Heading 4 18" xfId="1482" xr:uid="{6B267AED-C79D-488C-9166-282A920676D3}"/>
    <cellStyle name="Heading 4 2" xfId="1483" xr:uid="{2AC016C1-6898-46B1-90BF-ADA918A82295}"/>
    <cellStyle name="Heading 4 3" xfId="1484" xr:uid="{E537C2FB-C7EA-4A95-94C5-14820E9E7A87}"/>
    <cellStyle name="Heading 4 4" xfId="1485" xr:uid="{CFAFA571-749D-4D42-B268-0B0C3A0AD8F4}"/>
    <cellStyle name="Heading 4 5" xfId="1486" xr:uid="{87347646-CFE0-4289-AF66-58F83ECD1A2F}"/>
    <cellStyle name="Heading 4 6" xfId="1487" xr:uid="{B425266D-FDFC-4CC2-BBED-98C9139D9425}"/>
    <cellStyle name="Heading 4 7" xfId="1488" xr:uid="{D0DD585C-04EC-464F-A305-FE71F1450229}"/>
    <cellStyle name="Heading 4 8" xfId="1489" xr:uid="{F4303F78-EBAD-470E-8D6F-02A7BBBF6C26}"/>
    <cellStyle name="Heading 4 9" xfId="1490" xr:uid="{78961190-63DE-46A5-8EDF-50126EFD0D1C}"/>
    <cellStyle name="Huomautus" xfId="1491" xr:uid="{9F69D6BD-392B-4DC1-9C64-18C53CDE4797}"/>
    <cellStyle name="Huomautus 2" xfId="1492" xr:uid="{E0EFE0DC-15EB-4572-B9D4-ACC5910EBAB1}"/>
    <cellStyle name="Huomautus 2 2" xfId="2668" xr:uid="{09692FC5-DFBA-4D61-A87F-8C29D3452FB1}"/>
    <cellStyle name="Huomautus 2 3" xfId="2471" xr:uid="{E6494104-3439-412C-A1A1-1A648E535600}"/>
    <cellStyle name="Huomautus 3" xfId="2667" xr:uid="{8B8CF150-50AB-4E55-9B86-F9C6DC09DF35}"/>
    <cellStyle name="Huomautus 4" xfId="2472" xr:uid="{61960BF7-1BAB-4717-AC37-D82B3EFC88C7}"/>
    <cellStyle name="Huono" xfId="1493" xr:uid="{11B4701A-11D1-4D9B-96EF-FC4382D6F496}"/>
    <cellStyle name="Hyperlink" xfId="61" builtinId="8"/>
    <cellStyle name="Hyperlink 2" xfId="1494" xr:uid="{5457490C-A181-4593-910A-AF692E63C042}"/>
    <cellStyle name="Hyperlink 3" xfId="62" xr:uid="{DCF5E03D-966B-48A9-B7B3-E606DC34F459}"/>
    <cellStyle name="Hyvä" xfId="1495" xr:uid="{F6F35C2A-7E99-49FB-B75C-C98FFEFAB53D}"/>
    <cellStyle name="Input" xfId="9" builtinId="20" customBuiltin="1"/>
    <cellStyle name="Input %" xfId="1496" xr:uid="{68C9F34E-D644-4416-8B68-3D2F8144C122}"/>
    <cellStyle name="Input 1" xfId="1497" xr:uid="{080BA391-CAA7-4292-9CDC-0BDE554F3C0E}"/>
    <cellStyle name="Input 10" xfId="1498" xr:uid="{C0B1BC9A-FE6D-4B39-AF0B-8FBEB766D841}"/>
    <cellStyle name="Input 11" xfId="1499" xr:uid="{67AB73CF-7F50-4061-8E25-F63FFF34F384}"/>
    <cellStyle name="Input 12" xfId="1500" xr:uid="{E64E2663-21C7-4FD8-A943-B20DB6EB232C}"/>
    <cellStyle name="Input 13" xfId="1501" xr:uid="{E350DB6C-F70B-433C-B29F-FC891E4E3966}"/>
    <cellStyle name="Input 14" xfId="1502" xr:uid="{A0551E06-2936-4E95-BE7A-A9A1A5D05E4C}"/>
    <cellStyle name="Input 15" xfId="1503" xr:uid="{1076E317-EEFD-4F69-9FA7-7C9ED9666B23}"/>
    <cellStyle name="Input 16" xfId="1504" xr:uid="{0C6210F7-C718-425E-A616-13775DA7FB19}"/>
    <cellStyle name="Input 17" xfId="1505" xr:uid="{79D5753B-59CB-4F94-B3AF-E7E1A8BDED4C}"/>
    <cellStyle name="Input 18" xfId="1506" xr:uid="{C326F465-F05E-457B-8830-ED6C8AF35BAB}"/>
    <cellStyle name="Input 2" xfId="1507" xr:uid="{6A88AED1-DC43-40C8-94DF-929A0246DAD8}"/>
    <cellStyle name="Input 2 2" xfId="2669" xr:uid="{2D1A475E-6222-4E9B-88BB-D84759A0405A}"/>
    <cellStyle name="Input 2 3" xfId="2470" xr:uid="{8D73F3FC-18A4-49E3-8FD7-D1AAA53EACC1}"/>
    <cellStyle name="Input 3" xfId="1508" xr:uid="{7622EC59-30F9-4BC7-A011-431A768FFCF4}"/>
    <cellStyle name="Input 3 2" xfId="1509" xr:uid="{D60104FA-30DB-4657-9D4C-649C54BB8805}"/>
    <cellStyle name="Input 3 2 2" xfId="1510" xr:uid="{DEFC2215-08E4-4E78-A0EF-3FC3FCF18B5F}"/>
    <cellStyle name="Input 3 2 2 2" xfId="1511" xr:uid="{B9F5B9AC-8B68-4EE0-A3B3-2171EDDFFE05}"/>
    <cellStyle name="Input 3 2 2 2 2" xfId="1512" xr:uid="{A8C00B94-BE11-4CE5-98FD-8A4A483C6B2C}"/>
    <cellStyle name="Input 3 2 2 2 3" xfId="2671" xr:uid="{205C628F-4B86-4125-A88E-1ABAEC99824A}"/>
    <cellStyle name="Input 3 2 2 2 4" xfId="2468" xr:uid="{295E6A32-CA30-4958-AC58-3981534A8568}"/>
    <cellStyle name="Input 3 2 3" xfId="1513" xr:uid="{7155BCA6-90C3-4287-A735-4906FA991B41}"/>
    <cellStyle name="Input 3 2 4" xfId="2670" xr:uid="{3C7FDDF6-3B79-402B-863D-3EBA81DE467D}"/>
    <cellStyle name="Input 3 2 5" xfId="2469" xr:uid="{109384D0-C255-4FE9-8725-58FE86FBD5DF}"/>
    <cellStyle name="Input 3 3" xfId="1514" xr:uid="{B1D779CB-60D4-4E80-B7EF-CD0C7E4D30F4}"/>
    <cellStyle name="Input 3 3 2" xfId="1515" xr:uid="{54AE5B51-CDDC-492F-9D55-5481EE428AA1}"/>
    <cellStyle name="Input 3 3 3" xfId="2672" xr:uid="{574D35F5-CF0F-4616-863D-9FFC86BD3C13}"/>
    <cellStyle name="Input 3 3 4" xfId="2467" xr:uid="{8FBABA06-7DD6-414E-B69B-6A3BC40F8EE9}"/>
    <cellStyle name="Input 3 4" xfId="1516" xr:uid="{4F1DE4C7-1E62-4973-A59F-A5EBA7AAF7B2}"/>
    <cellStyle name="Input 4" xfId="1517" xr:uid="{C034BCA4-089D-49F2-8B84-23E275014D93}"/>
    <cellStyle name="Input 5" xfId="1518" xr:uid="{B4CB9061-A299-451C-B286-5D43A58A0F72}"/>
    <cellStyle name="Input 6" xfId="1519" xr:uid="{8E7A6639-467E-4B24-8442-43140FC65206}"/>
    <cellStyle name="Input 7" xfId="1520" xr:uid="{41030518-ED10-4397-A4BE-695BC653BB8D}"/>
    <cellStyle name="Input 8" xfId="1521" xr:uid="{78084978-8C01-460E-A9F4-B19A974B609A}"/>
    <cellStyle name="Input 9" xfId="1522" xr:uid="{80715F1F-68DD-44E9-881E-319B5AA808F5}"/>
    <cellStyle name="Insatisfaisant" xfId="1523" xr:uid="{3EEA465C-A177-4763-99FA-2427DDEC8EEE}"/>
    <cellStyle name="Laskenta" xfId="1524" xr:uid="{50AAC565-4DE4-4F67-9200-692A32EC3842}"/>
    <cellStyle name="Laskenta 2" xfId="2673" xr:uid="{032CDE9C-EBEA-4AB8-B6D2-D23F301B0031}"/>
    <cellStyle name="Laskenta 3" xfId="2466" xr:uid="{C5F7430D-E269-4689-8C5A-92DD15174082}"/>
    <cellStyle name="Linked Cell" xfId="12" builtinId="24" customBuiltin="1"/>
    <cellStyle name="Linked Cell 10" xfId="1525" xr:uid="{FF62FDC7-E07B-40C2-9DBE-1538BD3C31C9}"/>
    <cellStyle name="Linked Cell 11" xfId="1526" xr:uid="{16E01186-0020-4291-BE84-589B514E11F9}"/>
    <cellStyle name="Linked Cell 12" xfId="1527" xr:uid="{73AD2413-BC96-40BF-ABF7-495A341026CC}"/>
    <cellStyle name="Linked Cell 13" xfId="1528" xr:uid="{2DFE0886-EBCD-45CA-9C4B-044B5C61AED6}"/>
    <cellStyle name="Linked Cell 14" xfId="1529" xr:uid="{42C11F81-8F08-4144-8D53-C5798C3DB9E6}"/>
    <cellStyle name="Linked Cell 15" xfId="1530" xr:uid="{A9AACD73-2ADC-4E78-BE2C-DE4E50706CF0}"/>
    <cellStyle name="Linked Cell 16" xfId="1531" xr:uid="{D29329D2-8C2A-4D5A-A8C2-13F4E91DE2DA}"/>
    <cellStyle name="Linked Cell 17" xfId="1532" xr:uid="{157AE696-F02A-4032-B3F5-3C747D797F2A}"/>
    <cellStyle name="Linked Cell 18" xfId="1533" xr:uid="{F9617714-ECF8-49BD-9F1E-450CE846CCD8}"/>
    <cellStyle name="Linked Cell 2" xfId="1534" xr:uid="{FD2195D7-1D41-45ED-ACFA-4D0EB2CADE43}"/>
    <cellStyle name="Linked Cell 3" xfId="1535" xr:uid="{76A63F43-F998-4C37-ADC9-52A7FDDC445A}"/>
    <cellStyle name="Linked Cell 4" xfId="1536" xr:uid="{19759253-2D67-42DF-8893-EC0C3D804BE7}"/>
    <cellStyle name="Linked Cell 5" xfId="1537" xr:uid="{5FF457DA-6224-474D-95BC-CD5B53B831C0}"/>
    <cellStyle name="Linked Cell 6" xfId="1538" xr:uid="{7F12D4C4-5B24-4BFD-B0D9-1A056044E4B5}"/>
    <cellStyle name="Linked Cell 7" xfId="1539" xr:uid="{ABB033A6-E563-4285-8B9A-A4FA617B8F2A}"/>
    <cellStyle name="Linked Cell 8" xfId="1540" xr:uid="{369AB3BA-9F41-4586-A9AE-B5B18808E927}"/>
    <cellStyle name="Linked Cell 9" xfId="1541" xr:uid="{CC52F681-A976-4E20-BD9C-19529292B0B3}"/>
    <cellStyle name="Linkitetty solu" xfId="1542" xr:uid="{93E8778F-26C2-4674-8E85-3D2EE3DBE398}"/>
    <cellStyle name="Makronamen" xfId="1543" xr:uid="{FE57FD3B-841A-4386-AF80-D2558CF48A0E}"/>
    <cellStyle name="Milliers [0]_EDYAN" xfId="1544" xr:uid="{39F9CE8F-4CBC-42AD-9C42-FF7B14D3569D}"/>
    <cellStyle name="Milliers_Copie de Equivilent Scenario for QIS4 techncial specification_20070318Locked" xfId="1545" xr:uid="{2E5B6A9E-2AA1-4693-8E4B-BCED0D8BF17B}"/>
    <cellStyle name="Monétaire [0]_EDYAN" xfId="1546" xr:uid="{56591CD5-67CF-4BD7-8C46-6F70A95FB832}"/>
    <cellStyle name="Monétaire_EDYAN" xfId="1547" xr:uid="{C6852FB4-577C-4A60-9D2E-ABF30B03E35C}"/>
    <cellStyle name="Month" xfId="1548" xr:uid="{BCE1F14E-4B71-4243-85F9-78245E7710BE}"/>
    <cellStyle name="Month 2" xfId="1549" xr:uid="{38000FAB-E92D-4780-9C01-0BFA07A40D66}"/>
    <cellStyle name="Month 3" xfId="1550" xr:uid="{073FB17E-E908-4D6F-BAB1-050B42AB5474}"/>
    <cellStyle name="Neutraali" xfId="1551" xr:uid="{C6AFDE35-F0BA-484C-BF37-706778FF1BF7}"/>
    <cellStyle name="Neutral 10" xfId="1552" xr:uid="{C3F070A9-9C87-4B00-9412-2194BDE05291}"/>
    <cellStyle name="Neutral 11" xfId="1553" xr:uid="{997A202A-CE0A-4271-9376-C5D42F4A3C7D}"/>
    <cellStyle name="Neutral 12" xfId="1554" xr:uid="{2E8C4380-88E6-4030-8D0C-5B424B06AFED}"/>
    <cellStyle name="Neutral 13" xfId="1555" xr:uid="{E3A9764E-3830-42AD-A2E6-D81683B74B1E}"/>
    <cellStyle name="Neutral 14" xfId="1556" xr:uid="{ADC998FB-D8FA-498C-9D4A-830C255D9D77}"/>
    <cellStyle name="Neutral 15" xfId="1557" xr:uid="{B337164F-4244-4D2B-A581-2385CF35FB34}"/>
    <cellStyle name="Neutral 16" xfId="1558" xr:uid="{5E8479D5-784C-4406-A246-4A1039C0FE26}"/>
    <cellStyle name="Neutral 17" xfId="1559" xr:uid="{BF1E3A6C-BFB8-482B-9EC8-7984ACEF2CAB}"/>
    <cellStyle name="Neutral 18" xfId="1560" xr:uid="{307C5BC5-BD34-40ED-B0B0-D2AAFEABE5BE}"/>
    <cellStyle name="Neutral 2" xfId="41" xr:uid="{B0FBDBD0-C33E-4DF4-B266-348B30365FD6}"/>
    <cellStyle name="Neutral 2 2" xfId="1561" xr:uid="{8C171B95-FE00-4B21-A56F-81E6FB55CF66}"/>
    <cellStyle name="Neutral 3" xfId="1562" xr:uid="{A435647F-ECF0-4237-AA7D-E34025E51602}"/>
    <cellStyle name="Neutral 4" xfId="1563" xr:uid="{EBD0FA3C-E98F-43DA-8DC3-915013506D56}"/>
    <cellStyle name="Neutral 5" xfId="1564" xr:uid="{DE1DE08F-7709-4427-881B-9F065024FC58}"/>
    <cellStyle name="Neutral 6" xfId="1565" xr:uid="{44429EE5-C918-407E-AB18-78B64AE82E79}"/>
    <cellStyle name="Neutral 7" xfId="1566" xr:uid="{87A337E6-7FA7-4EE5-AB23-C7564863CF75}"/>
    <cellStyle name="Neutral 8" xfId="1567" xr:uid="{29788D96-B920-4437-B986-30DB2C87E793}"/>
    <cellStyle name="Neutral 9" xfId="1568" xr:uid="{F5A938C9-350C-44E4-A74D-EFB236634907}"/>
    <cellStyle name="Neutrale" xfId="1569" xr:uid="{C23A3A05-4698-4334-B5F2-76164B26AF9C}"/>
    <cellStyle name="Neutre" xfId="1570" xr:uid="{6FE9A1B8-59DF-48E2-AC26-6AC4C8F1B043}"/>
    <cellStyle name="NoL" xfId="1571" xr:uid="{9286C4D9-8BD7-4884-BE3C-6C0C4380FE4F}"/>
    <cellStyle name="NoL 2" xfId="1572" xr:uid="{528AF687-5745-459C-9A99-BB74EDB4D303}"/>
    <cellStyle name="NoL 2 2" xfId="2675" xr:uid="{5AFAC96B-B4A1-472C-AEB8-E54694563196}"/>
    <cellStyle name="NoL 2 3" xfId="2464" xr:uid="{30F4771A-4284-4E19-8E77-B265C3A9257A}"/>
    <cellStyle name="NoL 2 4" xfId="2677" xr:uid="{755B8880-956D-4239-AF94-B36EFBC773BC}"/>
    <cellStyle name="NoL 3" xfId="2674" xr:uid="{2EE37A2C-55E2-4D2E-80E8-D873DF157BD9}"/>
    <cellStyle name="NoL 4" xfId="2465" xr:uid="{493EB63B-E2CB-4425-A337-6EC2CABA13BA}"/>
    <cellStyle name="NoL 5" xfId="2676" xr:uid="{D2241D5B-F546-42BB-B780-824BC495D387}"/>
    <cellStyle name="Nombre" xfId="1573" xr:uid="{9D871547-D7BA-41E9-A499-3BDE8122FD35}"/>
    <cellStyle name="Normal" xfId="0" builtinId="0"/>
    <cellStyle name="Normal - Style1" xfId="1574" xr:uid="{82085DCE-CF5C-428C-98C3-F8654D7EDC32}"/>
    <cellStyle name="Normal 10" xfId="1575" xr:uid="{34331E27-3DDD-4836-B5FD-1F1669FE2C83}"/>
    <cellStyle name="Normal 10 2" xfId="1576" xr:uid="{4575AA74-1D0E-464E-9E4B-BA128A910EF1}"/>
    <cellStyle name="Normal 10 3" xfId="1577" xr:uid="{FECF2AEB-890D-401D-A7C0-3BE500C6BB6C}"/>
    <cellStyle name="Normal 11" xfId="1578" xr:uid="{09982696-C8F4-45AE-A720-6971CF09FD35}"/>
    <cellStyle name="Normal 11 2" xfId="1579" xr:uid="{118F40C4-ED1F-4FEC-835B-7CC7E7182E7B}"/>
    <cellStyle name="Normal 11 3" xfId="1580" xr:uid="{BEAAD35B-3BC6-4542-BB10-8E6CD1E420AF}"/>
    <cellStyle name="Normal 11 4" xfId="1581" xr:uid="{60A7CCAE-1CBE-43E3-9F75-7A341EBB2170}"/>
    <cellStyle name="Normal 11 5" xfId="1582" xr:uid="{06D96F6E-1533-4D9D-945A-DFA198FEDD35}"/>
    <cellStyle name="Normal 11 5 2" xfId="1583" xr:uid="{ADA6EF45-31F0-49F5-A5DA-03BA16CCFA1B}"/>
    <cellStyle name="Normal 12" xfId="1584" xr:uid="{D8BB580C-AE76-4D3E-95C0-AE90CC181D04}"/>
    <cellStyle name="Normal 13" xfId="1585" xr:uid="{BA97ECDF-2688-4B00-AB83-2032073CEB7B}"/>
    <cellStyle name="Normal 14" xfId="1586" xr:uid="{21E942DA-800A-4131-8715-7E6381339241}"/>
    <cellStyle name="Normal 14 2" xfId="1587" xr:uid="{79081403-50D1-4E9E-8236-C73374AAE7F5}"/>
    <cellStyle name="Normal 14 3" xfId="1588" xr:uid="{1B361BF8-5C13-4CB7-A618-64A47587F0CC}"/>
    <cellStyle name="Normal 15" xfId="1589" xr:uid="{5D7685D8-9EA3-4C31-B949-82796DE42993}"/>
    <cellStyle name="Normal 15 2" xfId="1590" xr:uid="{5ED27A71-6BA9-4232-B32B-D07FC6D2427A}"/>
    <cellStyle name="Normal 15 3" xfId="1591" xr:uid="{ABF14C2F-F0C9-4715-9174-A475A35549F1}"/>
    <cellStyle name="Normal 16" xfId="1592" xr:uid="{83D8382C-4F3A-4528-B3A1-8EC6F6DE6D94}"/>
    <cellStyle name="Normal 16 2" xfId="1593" xr:uid="{E44ACA5A-566F-45DA-A4DF-2599CADC9357}"/>
    <cellStyle name="Normal 16 3" xfId="1594" xr:uid="{0BA207A9-4B34-4B0C-A433-8014701BC2E3}"/>
    <cellStyle name="Normal 17" xfId="1595" xr:uid="{57DD97CA-3CE5-4794-9943-E524CCA0F571}"/>
    <cellStyle name="Normal 17 2" xfId="1596" xr:uid="{338A2554-8DF7-434F-BA73-3C0FCA7E9C2C}"/>
    <cellStyle name="Normal 17 3" xfId="1597" xr:uid="{3875C7C6-49E6-4CBC-9717-C2CFD8FACF05}"/>
    <cellStyle name="Normal 17 4" xfId="1598" xr:uid="{5B631531-AE34-41EF-A732-795099B00E59}"/>
    <cellStyle name="Normal 17 5" xfId="1599" xr:uid="{3B897276-3167-4747-9719-5805916E30BA}"/>
    <cellStyle name="Normal 18" xfId="1600" xr:uid="{F6F5E57B-6965-4508-A50F-48765326102C}"/>
    <cellStyle name="Normal 19" xfId="1601" xr:uid="{5CF100A6-B81A-40A8-9BB3-1781FDC2E836}"/>
    <cellStyle name="Normal 2" xfId="56" xr:uid="{A916ACB3-0FCD-428E-B79D-3F5713377470}"/>
    <cellStyle name="Normal 2 10" xfId="1603" xr:uid="{4F8B557C-F4CC-490A-B437-A909C5B904F2}"/>
    <cellStyle name="Normal 2 10 10" xfId="1604" xr:uid="{A9FB2BCC-1C82-4A14-A8F6-D2EC57831280}"/>
    <cellStyle name="Normal 2 10 11" xfId="1605" xr:uid="{04C7C950-8C0B-4732-BBEA-92AFBB9EA3D8}"/>
    <cellStyle name="Normal 2 10 12" xfId="1606" xr:uid="{A34804EA-340C-44F7-8A1D-9F264051644D}"/>
    <cellStyle name="Normal 2 10 13" xfId="1607" xr:uid="{D3121FA9-8C78-40C1-B16C-F4DE542C4115}"/>
    <cellStyle name="Normal 2 10 2" xfId="1608" xr:uid="{6ADFDCF8-B397-4A64-89D7-F7EFEF94AB73}"/>
    <cellStyle name="Normal 2 10 3" xfId="1609" xr:uid="{98C7E0D2-2017-43EF-9A03-FE7F84067263}"/>
    <cellStyle name="Normal 2 10 4" xfId="1610" xr:uid="{8DB3199A-1B2B-444C-AA6A-DAA77C554D52}"/>
    <cellStyle name="Normal 2 10 5" xfId="1611" xr:uid="{DB368B90-9536-40F8-AFFD-53475972B732}"/>
    <cellStyle name="Normal 2 10 6" xfId="1612" xr:uid="{ECB0EE92-3BEA-4E84-A741-832D5FFAED54}"/>
    <cellStyle name="Normal 2 10 7" xfId="1613" xr:uid="{43E757C6-9832-4479-9640-F868042C2003}"/>
    <cellStyle name="Normal 2 10 8" xfId="1614" xr:uid="{1B2B64F9-804B-450E-982B-2E5BB553C904}"/>
    <cellStyle name="Normal 2 10 9" xfId="1615" xr:uid="{63BA6002-D8DF-423C-BBEC-8DB5D2763BC9}"/>
    <cellStyle name="Normal 2 11" xfId="1616" xr:uid="{85C645B5-37C4-4FE6-A1A1-A2F433C9A713}"/>
    <cellStyle name="Normal 2 11 10" xfId="1617" xr:uid="{EEEF99E8-B785-4A23-9D76-41BB0B1A1D93}"/>
    <cellStyle name="Normal 2 11 11" xfId="1618" xr:uid="{9840187A-A827-4C0F-8634-1FFC46400668}"/>
    <cellStyle name="Normal 2 11 12" xfId="1619" xr:uid="{A7C76124-9FAA-4ADE-9127-7A4A5F4216A1}"/>
    <cellStyle name="Normal 2 11 2" xfId="1620" xr:uid="{B417DF97-0DC3-4155-BE82-379C663E1785}"/>
    <cellStyle name="Normal 2 11 3" xfId="1621" xr:uid="{3C13B037-AFA1-4C64-935A-0B16C844D53C}"/>
    <cellStyle name="Normal 2 11 4" xfId="1622" xr:uid="{9F02DF37-B1E5-4060-822C-6342641A6FE2}"/>
    <cellStyle name="Normal 2 11 5" xfId="1623" xr:uid="{676F53C9-13A8-4F9F-A50B-503D374C8998}"/>
    <cellStyle name="Normal 2 11 6" xfId="1624" xr:uid="{64CE3D8B-4CE4-48D0-B60E-0DE16B6BC058}"/>
    <cellStyle name="Normal 2 11 7" xfId="1625" xr:uid="{EE1126B1-5738-4B36-A47B-1856022B2296}"/>
    <cellStyle name="Normal 2 11 8" xfId="1626" xr:uid="{F69EB1FC-D67B-4912-95F6-43960FDBD264}"/>
    <cellStyle name="Normal 2 11 9" xfId="1627" xr:uid="{F62D000B-61C9-4F7C-B293-C11272CEFFC6}"/>
    <cellStyle name="Normal 2 12" xfId="1628" xr:uid="{91A1EC47-6330-4E24-B827-41B0B970BD14}"/>
    <cellStyle name="Normal 2 13" xfId="1629" xr:uid="{A0001C50-6786-413C-8AFB-C0CE2B0B23E3}"/>
    <cellStyle name="Normal 2 14" xfId="1630" xr:uid="{8E8D664F-482C-4637-8D0D-513CDC24EC6C}"/>
    <cellStyle name="Normal 2 14 2" xfId="1631" xr:uid="{43B528A4-0B90-472F-B285-C96CB01BC99D}"/>
    <cellStyle name="Normal 2 14 3" xfId="1632" xr:uid="{32291B90-BF87-4547-9031-CF2578EA9CC2}"/>
    <cellStyle name="Normal 2 14 4" xfId="1633" xr:uid="{F88790F6-7371-454B-AEC6-7865F9F159A3}"/>
    <cellStyle name="Normal 2 14 5" xfId="1634" xr:uid="{AAEC8A58-BCF4-4BD5-9516-63CD1AE7DA09}"/>
    <cellStyle name="Normal 2 15" xfId="1635" xr:uid="{9AFFD900-CF42-4A14-B2D0-3F4DD48C3530}"/>
    <cellStyle name="Normal 2 15 2" xfId="1636" xr:uid="{0D6CF957-F292-4BA7-9DD5-02BE0913B24C}"/>
    <cellStyle name="Normal 2 15 3" xfId="1637" xr:uid="{875E34B0-078E-4C5A-903F-1E16BA3E0164}"/>
    <cellStyle name="Normal 2 16" xfId="1638" xr:uid="{5256FA88-A6E1-48AD-8556-A7DD23139ED9}"/>
    <cellStyle name="Normal 2 17" xfId="1639" xr:uid="{D353F6DA-FFC4-47CC-B9A9-D29C75FBFF3D}"/>
    <cellStyle name="Normal 2 18" xfId="1640" xr:uid="{C33B7398-5D25-44C2-AC20-DD79EAD73B07}"/>
    <cellStyle name="Normal 2 19" xfId="1602" xr:uid="{2748EFA4-6F3A-46CA-9B18-979B224AA621}"/>
    <cellStyle name="Normal 2 2" xfId="1641" xr:uid="{7B8E12C0-A617-4072-98D8-2BBB43589778}"/>
    <cellStyle name="Normal 2 2 10" xfId="1642" xr:uid="{DF4055EC-B46E-4102-90E6-0DC36FA5AF15}"/>
    <cellStyle name="Normal 2 2 11" xfId="1643" xr:uid="{63385DC1-48BD-43CD-8100-19237502BF90}"/>
    <cellStyle name="Normal 2 2 12" xfId="1644" xr:uid="{A9D5B5B3-2DA4-474C-A067-62A738348294}"/>
    <cellStyle name="Normal 2 2 13" xfId="1645" xr:uid="{168E7B8C-516F-418F-9FDB-66D1D3E633B1}"/>
    <cellStyle name="Normal 2 2 14" xfId="1646" xr:uid="{17AB1362-CB7C-4FAD-AACB-B7E18EA5FFF3}"/>
    <cellStyle name="Normal 2 2 15" xfId="1647" xr:uid="{6164732A-B908-499B-9978-02403ED715E5}"/>
    <cellStyle name="Normal 2 2 16" xfId="1648" xr:uid="{1B142908-4F7F-451E-AE2D-1E387311E561}"/>
    <cellStyle name="Normal 2 2 17" xfId="1649" xr:uid="{1D7C011A-DF64-4155-9808-3CC0234F47CA}"/>
    <cellStyle name="Normal 2 2 18" xfId="1650" xr:uid="{D611E142-0971-4547-A251-88FB98F780CC}"/>
    <cellStyle name="Normal 2 2 19" xfId="1651" xr:uid="{BFAA9E87-6D87-4C8D-AE8E-F62D4F013964}"/>
    <cellStyle name="Normal 2 2 2" xfId="1652" xr:uid="{436F16C9-318F-4F8F-A90F-357351F8BD7F}"/>
    <cellStyle name="Normal 2 2 20" xfId="1653" xr:uid="{D03E05C7-7237-41E8-8E0D-F0FA8CEB35FA}"/>
    <cellStyle name="Normal 2 2 21" xfId="1654" xr:uid="{1FB8EB33-0960-433A-A98F-EBD296E2559E}"/>
    <cellStyle name="Normal 2 2 22" xfId="1655" xr:uid="{F59566B0-E651-42B4-A304-EC7DA1E905CE}"/>
    <cellStyle name="Normal 2 2 23" xfId="1656" xr:uid="{7FBB8F0F-7EB6-4D25-9FFF-695A32500D5D}"/>
    <cellStyle name="Normal 2 2 3" xfId="1657" xr:uid="{E7B12CBF-F2D5-490E-B0AA-E7B4226E31C3}"/>
    <cellStyle name="Normal 2 2 4" xfId="1658" xr:uid="{FAD461E7-7081-4B00-9BD4-370119016889}"/>
    <cellStyle name="Normal 2 2 5" xfId="1659" xr:uid="{512104FC-113B-45C9-8B3B-A35D23486222}"/>
    <cellStyle name="Normal 2 2 6" xfId="1660" xr:uid="{E4AF8D43-EF40-4BEB-9D97-EEC49407151A}"/>
    <cellStyle name="Normal 2 2 7" xfId="1661" xr:uid="{43E7F892-E959-4893-884F-39F560EC0858}"/>
    <cellStyle name="Normal 2 2 8" xfId="1662" xr:uid="{61BB0E8A-6482-482C-A173-C2881B34306C}"/>
    <cellStyle name="Normal 2 2 9" xfId="1663" xr:uid="{E1BBE312-35A3-4DE9-8FD6-2970D0349E4E}"/>
    <cellStyle name="Normal 2 3" xfId="1664" xr:uid="{7C274814-A9A8-4566-AD33-05C85824A684}"/>
    <cellStyle name="Normal 2 3 2" xfId="1665" xr:uid="{DF625247-BFB4-4C10-86BA-37BC9668EFD0}"/>
    <cellStyle name="Normal 2 3 3" xfId="1666" xr:uid="{7126A0A4-225A-4E80-8CA3-0BC1FA4B65E5}"/>
    <cellStyle name="Normal 2 3 4" xfId="1667" xr:uid="{AF0BF19F-D694-482B-B33D-F877E4A1DD54}"/>
    <cellStyle name="Normal 2 4" xfId="1668" xr:uid="{7B3AEC87-04FE-4E72-BE98-34BD1A7F3E6B}"/>
    <cellStyle name="Normal 2 4 2" xfId="1669" xr:uid="{B6FAB45F-0395-415B-A388-CB1BFF8A071B}"/>
    <cellStyle name="Normal 2 4 2 2" xfId="1670" xr:uid="{C293D2D5-E091-49C7-A8F6-61C356F9B305}"/>
    <cellStyle name="Normal 2 4 2 3" xfId="1671" xr:uid="{FCB07D71-BECB-4BD3-A325-7CA55DE2CC24}"/>
    <cellStyle name="Normal 2 4 3" xfId="1672" xr:uid="{A7190B7C-95BF-469D-9487-D86C48750666}"/>
    <cellStyle name="Normal 2 5" xfId="1673" xr:uid="{AE768FD7-06F2-4616-96DF-79785201EF23}"/>
    <cellStyle name="Normal 2 5 2" xfId="1674" xr:uid="{F76E399D-7633-4628-899D-D069107A2A0D}"/>
    <cellStyle name="Normal 2 5 2 2" xfId="1675" xr:uid="{A01A329E-D02E-418E-B0A3-47425C8D1169}"/>
    <cellStyle name="Normal 2 5 2 3" xfId="1676" xr:uid="{5EA24BE2-4AF2-4EB0-88DA-18FA77706616}"/>
    <cellStyle name="Normal 2 5 3" xfId="1677" xr:uid="{234F1DB3-4FA6-492F-9B18-ABA420055FE6}"/>
    <cellStyle name="Normal 2 6" xfId="1678" xr:uid="{B8A8BE00-F670-4DC7-BA8B-39C07443A5F2}"/>
    <cellStyle name="Normal 2 7" xfId="1679" xr:uid="{135739EB-0F03-44E5-9752-43A2F3DFB86B}"/>
    <cellStyle name="Normal 2 7 10" xfId="1680" xr:uid="{4E2FE625-63F4-485B-891E-F731A747BBAB}"/>
    <cellStyle name="Normal 2 7 11" xfId="1681" xr:uid="{4A0A2CCF-0A49-4A38-A73D-D3AAA3B71BAB}"/>
    <cellStyle name="Normal 2 7 12" xfId="1682" xr:uid="{D1C7E6CC-CD07-4ED2-B88C-5B7398DA602B}"/>
    <cellStyle name="Normal 2 7 13" xfId="1683" xr:uid="{0392DCF2-73F3-4D01-BC46-1552D0685AF7}"/>
    <cellStyle name="Normal 2 7 2" xfId="1684" xr:uid="{A0851BD7-93AB-4DD2-BD25-641D1892D4E6}"/>
    <cellStyle name="Normal 2 7 3" xfId="1685" xr:uid="{EE069E0D-9235-490D-A714-B1D40D2E6103}"/>
    <cellStyle name="Normal 2 7 4" xfId="1686" xr:uid="{8BDE5E86-0F80-4459-9C94-AFE331248435}"/>
    <cellStyle name="Normal 2 7 5" xfId="1687" xr:uid="{AFEBF3E9-7431-4F3C-92E0-6A1DFA2534AD}"/>
    <cellStyle name="Normal 2 7 6" xfId="1688" xr:uid="{F41403EE-6D90-4850-95F4-435D85533264}"/>
    <cellStyle name="Normal 2 7 7" xfId="1689" xr:uid="{63FA2144-E213-4AE6-A04C-FD9949BF0FB7}"/>
    <cellStyle name="Normal 2 7 8" xfId="1690" xr:uid="{F0BA08AB-084C-48F3-B675-8EC5381BE1DA}"/>
    <cellStyle name="Normal 2 7 9" xfId="1691" xr:uid="{0A79BA26-A2E5-40EB-9D43-36B5920D2C85}"/>
    <cellStyle name="Normal 2 8" xfId="1692" xr:uid="{52E14311-B5F4-4E40-A615-D5FE87BCDD95}"/>
    <cellStyle name="Normal 2 8 10" xfId="1693" xr:uid="{C4861B44-0172-42F0-95C8-A85E09CDE616}"/>
    <cellStyle name="Normal 2 8 11" xfId="1694" xr:uid="{771070DD-762E-44DB-844E-8385763ED3A8}"/>
    <cellStyle name="Normal 2 8 12" xfId="1695" xr:uid="{AFBE5755-4CC6-48A3-87C3-03504CEB0E5B}"/>
    <cellStyle name="Normal 2 8 13" xfId="1696" xr:uid="{8A97159F-1C85-48F6-8434-4F2729879F3D}"/>
    <cellStyle name="Normal 2 8 2" xfId="1697" xr:uid="{089BCC14-8F1E-4506-B430-181F0BEC8934}"/>
    <cellStyle name="Normal 2 8 3" xfId="1698" xr:uid="{BE04F530-CA5D-48B6-80D0-43A2A008E63C}"/>
    <cellStyle name="Normal 2 8 4" xfId="1699" xr:uid="{4F2BE4E2-AF7E-47B3-88E4-1BCF8AEECE89}"/>
    <cellStyle name="Normal 2 8 5" xfId="1700" xr:uid="{C0A01D04-29CB-40F5-8589-6788FFCB9DB8}"/>
    <cellStyle name="Normal 2 8 6" xfId="1701" xr:uid="{03BBA0DB-F05E-4667-BB8E-8D8A5704E15B}"/>
    <cellStyle name="Normal 2 8 7" xfId="1702" xr:uid="{783F9A9A-CE97-41CA-8B47-1018757D2F5F}"/>
    <cellStyle name="Normal 2 8 8" xfId="1703" xr:uid="{367F7293-B678-4122-B76A-9732151F55A4}"/>
    <cellStyle name="Normal 2 8 9" xfId="1704" xr:uid="{8D37652E-9FAD-4BB1-B0EE-114BD03023B2}"/>
    <cellStyle name="Normal 2 9" xfId="1705" xr:uid="{0BEE590E-459B-4F04-898D-A800582B59C8}"/>
    <cellStyle name="Normal 2 9 10" xfId="1706" xr:uid="{BBB707F7-CE39-46DD-AD54-69B4D7E819B5}"/>
    <cellStyle name="Normal 2 9 11" xfId="1707" xr:uid="{3861929C-5824-4213-9D6E-FA275F51A043}"/>
    <cellStyle name="Normal 2 9 12" xfId="1708" xr:uid="{FF5CFED6-6536-41C9-95CE-403A23C06785}"/>
    <cellStyle name="Normal 2 9 13" xfId="1709" xr:uid="{FD71878C-303A-4E5A-8422-769D9EABCD14}"/>
    <cellStyle name="Normal 2 9 2" xfId="1710" xr:uid="{4C930CA2-A23E-4D5B-BBAE-36D3AFE4A772}"/>
    <cellStyle name="Normal 2 9 3" xfId="1711" xr:uid="{4F83F7ED-F009-4531-889D-83745952B29C}"/>
    <cellStyle name="Normal 2 9 4" xfId="1712" xr:uid="{414D4007-770E-407A-9AFD-5F5F8283A821}"/>
    <cellStyle name="Normal 2 9 5" xfId="1713" xr:uid="{A7F972AB-CDF4-441E-9017-FE9876856B97}"/>
    <cellStyle name="Normal 2 9 6" xfId="1714" xr:uid="{58B45C7E-111F-4412-89AC-97DDFCDAA79F}"/>
    <cellStyle name="Normal 2 9 7" xfId="1715" xr:uid="{DA520D49-7D88-4E95-BA76-8FAEAB1082A8}"/>
    <cellStyle name="Normal 2 9 8" xfId="1716" xr:uid="{64C1D4B3-0424-4917-9680-1C3BBCCE07E6}"/>
    <cellStyle name="Normal 2 9 9" xfId="1717" xr:uid="{E541C6E9-32CB-4870-AFA5-184F23BE879E}"/>
    <cellStyle name="Normal 20" xfId="1718" xr:uid="{3BB91229-9E12-40F4-B8C4-8B237F0AD6EC}"/>
    <cellStyle name="Normal 21" xfId="1719" xr:uid="{3EFC2CBA-A87D-4F9F-B43D-520F2D395B3E}"/>
    <cellStyle name="Normal 22" xfId="1720" xr:uid="{21204580-C2E0-4636-91D0-B95537CF87B5}"/>
    <cellStyle name="Normal 23" xfId="1721" xr:uid="{3329FE9A-2B22-4862-AA0D-BAF12FF3FAF3}"/>
    <cellStyle name="Normal 24" xfId="1722" xr:uid="{82C6CEBE-1535-4D6F-A8F1-1FA464E488C4}"/>
    <cellStyle name="Normal 25" xfId="1723" xr:uid="{07180862-340E-43CF-BDBC-0292FE2921ED}"/>
    <cellStyle name="Normal 26" xfId="1724" xr:uid="{5BEA5ECD-A740-46EA-BCC4-D85AA6EB3DDD}"/>
    <cellStyle name="Normal 27" xfId="1725" xr:uid="{4141121F-4F7C-417A-A1CD-A2EACDA19B12}"/>
    <cellStyle name="Normal 28" xfId="1726" xr:uid="{7D10149B-78BB-44B9-8A05-24666CE90EA8}"/>
    <cellStyle name="Normal 29" xfId="1727" xr:uid="{6F26DF0F-DCF9-42A8-951D-696D0A5D2FAB}"/>
    <cellStyle name="Normal 3" xfId="40" xr:uid="{D74A9825-D56B-4325-98FE-747DAC315E1C}"/>
    <cellStyle name="Normal 3 10" xfId="1729" xr:uid="{363DFAB6-82FB-4754-B5E9-323907D72A29}"/>
    <cellStyle name="Normal 3 10 2" xfId="1730" xr:uid="{C1963F01-38F9-4176-87D3-892C3E5450DD}"/>
    <cellStyle name="Normal 3 11" xfId="1731" xr:uid="{7EA252C2-8E8B-422D-B8C8-CE5ACD083D23}"/>
    <cellStyle name="Normal 3 12" xfId="1732" xr:uid="{E61DCC62-9172-44B4-9C51-AB7894688BFC}"/>
    <cellStyle name="Normal 3 13" xfId="1733" xr:uid="{4A89ACDF-FB60-461A-8248-D052D354A945}"/>
    <cellStyle name="Normal 3 14" xfId="1728" xr:uid="{4CFCA3A9-1717-46F8-85BD-4095061DECD9}"/>
    <cellStyle name="Normal 3 2" xfId="1734" xr:uid="{5D2336AD-3DCB-47D1-BF21-4DA6D2B5C7CD}"/>
    <cellStyle name="Normal 3 2 2" xfId="1735" xr:uid="{AFACF9DC-81A2-4886-A486-496B7154F27D}"/>
    <cellStyle name="Normal 3 2 2 2" xfId="1736" xr:uid="{0E15C5D0-EDE9-4CA4-A22D-560A93959FD0}"/>
    <cellStyle name="Normal 3 2 2 2 2" xfId="1737" xr:uid="{3D2F9DB0-F41C-4EEB-B842-2BFD93AC06DE}"/>
    <cellStyle name="Normal 3 2 2 2 2 2" xfId="1738" xr:uid="{CC97D309-2DD1-453C-AE54-3BD89CEFA572}"/>
    <cellStyle name="Normal 3 2 2 3" xfId="1739" xr:uid="{23870348-BFED-44EF-8F92-9F3D9DB02DA0}"/>
    <cellStyle name="Normal 3 2 3" xfId="1740" xr:uid="{967A7EFF-C434-4AC2-8D0E-CFA841A36B90}"/>
    <cellStyle name="Normal 3 2 4" xfId="1741" xr:uid="{4E2AB23E-BCFB-4651-9BE2-5385C8377D4D}"/>
    <cellStyle name="Normal 3 2 5" xfId="1742" xr:uid="{9795CD91-D2BC-4597-9E1E-C1FFFFE2B8FC}"/>
    <cellStyle name="Normal 3 2 5 2" xfId="1743" xr:uid="{CF944424-8051-4466-852E-12D59E8281D7}"/>
    <cellStyle name="Normal 3 2 6" xfId="1744" xr:uid="{C57EDEF7-7111-4D5B-8463-DF615E803ADA}"/>
    <cellStyle name="Normal 3 3" xfId="1745" xr:uid="{7B734D9D-E8FD-4D5D-BC0E-AE9C2910A238}"/>
    <cellStyle name="Normal 3 3 2" xfId="1746" xr:uid="{4B25DE06-CF38-407C-8F92-8EA093A48CD8}"/>
    <cellStyle name="Normal 3 3 3" xfId="1747" xr:uid="{13C9DF74-3F19-463D-A77A-1ABC3CC0B218}"/>
    <cellStyle name="Normal 3 3 4" xfId="1748" xr:uid="{F849DA78-FECD-4DFC-B30C-D6AA8BD9D328}"/>
    <cellStyle name="Normal 3 4" xfId="1749" xr:uid="{83E02F45-0FB7-4ADE-9123-4139186FE185}"/>
    <cellStyle name="Normal 3 4 2" xfId="1750" xr:uid="{E5D1B1EC-2AB2-446D-BCD9-F79C114EDE57}"/>
    <cellStyle name="Normal 3 4 3" xfId="1751" xr:uid="{2C9B8D3A-C8FD-46A2-9861-32853C51E870}"/>
    <cellStyle name="Normal 3 4 4" xfId="1752" xr:uid="{4D4CE01C-F842-45C8-934C-4ACD261DE2A6}"/>
    <cellStyle name="Normal 3 5" xfId="1753" xr:uid="{B0F2C7F8-C47B-4BB4-8143-E146834937BA}"/>
    <cellStyle name="Normal 3 6" xfId="1754" xr:uid="{D5A18869-5EFB-4683-9ED1-383E1C112A1C}"/>
    <cellStyle name="Normal 3 7" xfId="1755" xr:uid="{87EC4AF2-35DB-4C64-A306-3E53CCBF9AFE}"/>
    <cellStyle name="Normal 3 8" xfId="1756" xr:uid="{EDDE3196-E54F-423A-80BB-86693CBE4BCC}"/>
    <cellStyle name="Normal 3 9" xfId="1757" xr:uid="{847E3DFB-EE54-4AD0-9EFC-0D9D68B65E00}"/>
    <cellStyle name="Normal 30" xfId="1758" xr:uid="{BECB4F24-9761-4908-BABA-B5FB082E2B57}"/>
    <cellStyle name="Normal 31" xfId="1759" xr:uid="{D7A1DE8E-6D1D-4733-A00F-F91135D1F84D}"/>
    <cellStyle name="Normal 32" xfId="1760" xr:uid="{30C13E48-F63A-4FDB-BEC2-529E87BD3E26}"/>
    <cellStyle name="Normal 33" xfId="1761" xr:uid="{D7585D31-33B1-479D-977A-45D873066F82}"/>
    <cellStyle name="Normal 34" xfId="1762" xr:uid="{AB75B99B-86C0-489E-8942-0755FE9E22F5}"/>
    <cellStyle name="Normal 35" xfId="1763" xr:uid="{9A12F5ED-0B4F-4663-9BAD-4A7215C845AC}"/>
    <cellStyle name="Normal 36" xfId="1764" xr:uid="{CD45D62A-071A-4671-B9D9-6B4B436CCF47}"/>
    <cellStyle name="Normal 37" xfId="1765" xr:uid="{4001E45B-B915-4D54-AB55-10AA802F22E0}"/>
    <cellStyle name="Normal 4" xfId="1766" xr:uid="{60976A25-63F2-4EA5-A337-FDCC4588625E}"/>
    <cellStyle name="Normal 4 2" xfId="1767" xr:uid="{AA50C35A-6306-44BD-88F9-9B524021BFB6}"/>
    <cellStyle name="Normal 4 2 2" xfId="1768" xr:uid="{2DB6DA4D-4567-4697-8B57-BAD03C5F7049}"/>
    <cellStyle name="Normal 4 2 2 2" xfId="1769" xr:uid="{395854A6-C38A-48A3-AC2B-E4211C90DEEB}"/>
    <cellStyle name="Normal 4 2 2 2 2" xfId="1770" xr:uid="{FC12A21C-F408-4FF9-BE90-56BF1CE13C9E}"/>
    <cellStyle name="Normal 4 2 2 2 2 2" xfId="1771" xr:uid="{40AC8B12-317E-409B-8A0A-020371F3F71A}"/>
    <cellStyle name="Normal 4 2 2 3" xfId="1772" xr:uid="{045970F6-CAE3-4DC8-A199-84C64D9433EC}"/>
    <cellStyle name="Normal 4 2 3" xfId="1773" xr:uid="{F52DA026-E93D-48CC-A498-D6FA97FE0DEC}"/>
    <cellStyle name="Normal 4 2 4" xfId="1774" xr:uid="{37CB8146-388F-413B-8ED6-831CD5946EF1}"/>
    <cellStyle name="Normal 4 2 5" xfId="1775" xr:uid="{86B0B11C-6035-40EC-BBDF-327236E442A6}"/>
    <cellStyle name="Normal 4 2 5 2" xfId="1776" xr:uid="{41E8AAF0-ECD9-481A-B7D3-10FD0BC97A9C}"/>
    <cellStyle name="Normal 4 3" xfId="1777" xr:uid="{2D7C1ABC-82E2-4977-A92E-E9FA5498DD3B}"/>
    <cellStyle name="Normal 4 4" xfId="1778" xr:uid="{DB7EB987-221E-41BE-BEE8-FFB45A11888B}"/>
    <cellStyle name="Normal 4 5" xfId="1779" xr:uid="{F938BB11-C827-472A-991E-D5C75563CC83}"/>
    <cellStyle name="Normal 4 6" xfId="1780" xr:uid="{AB476A3B-3A19-41B0-8D7B-267157F1EC96}"/>
    <cellStyle name="Normal 5" xfId="1781" xr:uid="{EEDAAF63-74D7-43AC-B890-1BC1F9AB6D46}"/>
    <cellStyle name="Normal 5 2" xfId="1782" xr:uid="{0CC62D90-7914-4C4B-97B8-6B764AC967A5}"/>
    <cellStyle name="Normal 5 2 2" xfId="1783" xr:uid="{2A959D2E-97C9-4ECE-A655-327E2ACD1FA6}"/>
    <cellStyle name="Normal 5 2 3" xfId="1784" xr:uid="{43456155-64A3-489C-8C72-EE0420067A66}"/>
    <cellStyle name="Normal 5 2 4" xfId="1785" xr:uid="{E739FDF0-B9FD-42B2-8ACD-D4A4615F142F}"/>
    <cellStyle name="Normal 5 3" xfId="1786" xr:uid="{089F7E99-9D12-4FBF-8CC5-9B78B893BE33}"/>
    <cellStyle name="Normal 5 4" xfId="1787" xr:uid="{F46D2C29-0C8B-4BC6-B7CA-5B6A9AA0EE24}"/>
    <cellStyle name="Normal 6" xfId="55" xr:uid="{599B3DC5-77AF-4265-8CD2-B23A3A41488D}"/>
    <cellStyle name="Normal 6 2" xfId="1789" xr:uid="{39C571CE-F14B-4A1F-8B6F-50EEEA395464}"/>
    <cellStyle name="Normal 6 2 2" xfId="1790" xr:uid="{CC60B0DC-0EC9-4A38-8C40-2E6852092278}"/>
    <cellStyle name="Normal 6 2 3" xfId="1791" xr:uid="{A1914EA7-3F10-4DC8-BE83-18895968B3A5}"/>
    <cellStyle name="Normal 6 3" xfId="1792" xr:uid="{8EF71B5E-C5F6-43C5-97BD-02C901800155}"/>
    <cellStyle name="Normal 6 4" xfId="1788" xr:uid="{998C62DF-E9E6-4F36-829B-A90126288C30}"/>
    <cellStyle name="Normal 7" xfId="53" xr:uid="{1644AACC-FABE-4DAC-818A-94E81E9DF820}"/>
    <cellStyle name="Normal 7 2" xfId="1794" xr:uid="{2B638155-9604-401B-A468-09DB6424CC60}"/>
    <cellStyle name="Normal 7 2 2" xfId="1795" xr:uid="{009E552E-D23A-4086-916B-3883023966BD}"/>
    <cellStyle name="Normal 7 2 2 2" xfId="1796" xr:uid="{32DC79F0-6994-44DC-80D6-40A13CF16623}"/>
    <cellStyle name="Normal 7 2 2 3" xfId="1797" xr:uid="{379DD9F3-BF2B-4E81-9194-E57AC62920EE}"/>
    <cellStyle name="Normal 7 2 2 4" xfId="1798" xr:uid="{F552DEB8-BBAA-4D0A-A955-769D507E1013}"/>
    <cellStyle name="Normal 7 2 3" xfId="1799" xr:uid="{84674ECF-353B-4822-B6C4-3A6DB7A0C349}"/>
    <cellStyle name="Normal 7 2 3 2" xfId="1800" xr:uid="{DFECD2A9-D036-4CFB-8BB7-BAB9699FD48A}"/>
    <cellStyle name="Normal 7 3" xfId="1801" xr:uid="{A5981FF2-B9D9-4807-BDF3-7491F1B1C4DE}"/>
    <cellStyle name="Normal 7 4" xfId="1802" xr:uid="{087B0CB2-382D-4FEC-A846-F4D0AC57FAEA}"/>
    <cellStyle name="Normal 7 5" xfId="1793" xr:uid="{7AB32C1D-D36C-4399-874A-C90377D939A6}"/>
    <cellStyle name="Normal 8" xfId="54" xr:uid="{FB2CA017-7C8B-477C-91B8-802CEC0C63FA}"/>
    <cellStyle name="Normal 8 2" xfId="1804" xr:uid="{615F3D37-9719-4F92-B61A-2A2EEF46C10D}"/>
    <cellStyle name="Normal 8 2 2" xfId="1805" xr:uid="{9A83022D-0258-4040-B1D1-157887C7F687}"/>
    <cellStyle name="Normal 8 2 2 2" xfId="1806" xr:uid="{69BA7348-845A-43B2-AC26-139C8BAFF253}"/>
    <cellStyle name="Normal 8 2 3" xfId="1807" xr:uid="{B1EA8022-BF0A-4C3F-A9BC-851944EAB045}"/>
    <cellStyle name="Normal 8 2 3 2" xfId="1808" xr:uid="{C69D992E-AAA9-4A66-BF7B-C5CF7E6CF08B}"/>
    <cellStyle name="Normal 8 3" xfId="1809" xr:uid="{FFC8E6E9-A69C-4B57-8B5D-570F79D8AFF8}"/>
    <cellStyle name="Normal 8 4" xfId="1803" xr:uid="{FF4FF89F-2324-48E2-968D-BD419EB57925}"/>
    <cellStyle name="Normal 9" xfId="1810" xr:uid="{EA053ED0-1F59-4ECE-A252-9C2356D7DB22}"/>
    <cellStyle name="Normal 9 2" xfId="1811" xr:uid="{64B67259-4761-422B-AE06-85AD9111146C}"/>
    <cellStyle name="Normal 9 2 2" xfId="1812" xr:uid="{5C658089-DFF8-43AA-9FB6-B6BC3F5A7E5C}"/>
    <cellStyle name="Nota" xfId="1813" xr:uid="{DB74414C-A8A2-45B9-B988-A27A46B95DB0}"/>
    <cellStyle name="Nota 2" xfId="2678" xr:uid="{2FA70834-94A9-4A32-B0B7-F616A788E46E}"/>
    <cellStyle name="Nota 3" xfId="2463" xr:uid="{99C4B60D-CB3F-4EC1-9434-3A00798491A7}"/>
    <cellStyle name="Note" xfId="15" builtinId="10" customBuiltin="1"/>
    <cellStyle name="Note 10" xfId="1814" xr:uid="{1053FB46-96B3-4AC7-8C78-123E9CA573F3}"/>
    <cellStyle name="Note 10 2" xfId="2679" xr:uid="{8475A2AF-DBF4-49CB-8D30-A8AE4048A18C}"/>
    <cellStyle name="Note 10 3" xfId="2462" xr:uid="{AE2EDB83-B771-4E7D-B0CB-F536A08C4807}"/>
    <cellStyle name="Note 10 4" xfId="2714" xr:uid="{CA62053D-D9D1-4F13-9FDB-EA4CFF82DCE3}"/>
    <cellStyle name="Note 11" xfId="1815" xr:uid="{A56770EC-30B1-42F1-9187-4E084D7260CE}"/>
    <cellStyle name="Note 11 2" xfId="2680" xr:uid="{629D3168-4D8C-44A1-9894-C4A9AFDDFACC}"/>
    <cellStyle name="Note 11 3" xfId="2461" xr:uid="{8B1964D4-1ABB-4171-AC2A-B01B62816F33}"/>
    <cellStyle name="Note 11 4" xfId="2715" xr:uid="{0DCAF5E3-33C8-4D64-B13E-DC9B8E024854}"/>
    <cellStyle name="Note 12" xfId="1816" xr:uid="{272B9947-1C35-460F-B15F-6B9AC9523C69}"/>
    <cellStyle name="Note 12 2" xfId="2681" xr:uid="{C6A8C696-849A-47CD-9A57-B87A4FEE0CF5}"/>
    <cellStyle name="Note 12 3" xfId="2460" xr:uid="{D9BFB8C5-1360-4689-AA09-A085AF6838A2}"/>
    <cellStyle name="Note 12 4" xfId="2716" xr:uid="{226B4F20-41B2-4096-8DA8-B7DDDA7B4758}"/>
    <cellStyle name="Note 13" xfId="1817" xr:uid="{8F42B572-D605-42E3-BA58-81C5FB81ED39}"/>
    <cellStyle name="Note 13 2" xfId="2682" xr:uid="{9CF5686B-9E7F-43E5-8D7B-A3ABC39009EF}"/>
    <cellStyle name="Note 13 3" xfId="2459" xr:uid="{C2B99B53-5802-45AE-AF8B-39F5A1A3694C}"/>
    <cellStyle name="Note 13 4" xfId="2717" xr:uid="{DBA2DABC-BFEB-468F-B42A-4DE780229A34}"/>
    <cellStyle name="Note 14" xfId="1818" xr:uid="{44694A57-442C-4C58-BAD2-362CBEA0D62A}"/>
    <cellStyle name="Note 14 2" xfId="2683" xr:uid="{ACF1C43A-FF97-4223-97AE-B6B92CF47CA9}"/>
    <cellStyle name="Note 14 3" xfId="2458" xr:uid="{753793E3-910F-4800-88AC-266398340C5F}"/>
    <cellStyle name="Note 14 4" xfId="2718" xr:uid="{7AA51A30-1699-425A-AA5C-E569947708D1}"/>
    <cellStyle name="Note 15" xfId="1819" xr:uid="{814F84DE-B3A3-4007-BBB3-01DEA30D6531}"/>
    <cellStyle name="Note 15 2" xfId="2684" xr:uid="{DD7A2EB2-38FF-444E-A7F5-F05413C5DF02}"/>
    <cellStyle name="Note 15 3" xfId="2457" xr:uid="{3E29C205-5816-41C2-9768-E108FB90C027}"/>
    <cellStyle name="Note 15 4" xfId="2719" xr:uid="{4CBF7711-126F-44DC-AB18-A19D0DDE169E}"/>
    <cellStyle name="Note 16" xfId="1820" xr:uid="{D5DCCC5C-257E-4A16-8185-6112D304F16F}"/>
    <cellStyle name="Note 16 2" xfId="2685" xr:uid="{1389693E-26AF-4A65-8D3D-5DD4C6FD8F9F}"/>
    <cellStyle name="Note 16 3" xfId="2456" xr:uid="{617F7DAD-4AA0-4AA7-8A83-2477B5F0326C}"/>
    <cellStyle name="Note 16 4" xfId="2720" xr:uid="{B9D0A9E0-53ED-4874-91A0-3878F4D40679}"/>
    <cellStyle name="Note 17" xfId="1821" xr:uid="{5EC57697-F1A7-4EB8-A2FE-FAE912F07A68}"/>
    <cellStyle name="Note 17 2" xfId="2686" xr:uid="{354963DD-B56E-462E-8643-7AF2726F28EA}"/>
    <cellStyle name="Note 17 3" xfId="2455" xr:uid="{A54D40EE-236B-4348-93D1-50A74F8C68A8}"/>
    <cellStyle name="Note 17 4" xfId="2721" xr:uid="{4FA763DE-728F-4804-9910-591543FAC8CD}"/>
    <cellStyle name="Note 18" xfId="1822" xr:uid="{D6348D34-0711-4352-AE50-389632716A9F}"/>
    <cellStyle name="Note 18 2" xfId="2687" xr:uid="{C7C284A7-E24E-4280-A8ED-5A9354F40611}"/>
    <cellStyle name="Note 18 3" xfId="2454" xr:uid="{91C46E87-8C46-4D0E-B1B5-A920E2C9DFAC}"/>
    <cellStyle name="Note 18 4" xfId="2722" xr:uid="{003F084F-2152-4EC8-BA18-86252F9C55EA}"/>
    <cellStyle name="Note 2" xfId="1823" xr:uid="{AF4799C9-4291-4A7F-8DAF-71589EB0CA93}"/>
    <cellStyle name="Note 2 2" xfId="2688" xr:uid="{E98CC45A-DBD2-4448-A0A5-AD9410BCD04B}"/>
    <cellStyle name="Note 2 3" xfId="2453" xr:uid="{FE58B6FD-9C04-4B9F-AED1-D3DF29E1EA63}"/>
    <cellStyle name="Note 3" xfId="1824" xr:uid="{057225D0-62C9-4DB4-B426-7CA0862A9931}"/>
    <cellStyle name="Note 3 2" xfId="2689" xr:uid="{4C9E6487-8D0F-4189-BAF2-F20B63418D8F}"/>
    <cellStyle name="Note 3 3" xfId="2452" xr:uid="{43268BF1-4A3C-42D0-BBA2-CAC7454AED10}"/>
    <cellStyle name="Note 4" xfId="1825" xr:uid="{1250E378-4A35-49F6-844F-2A76C29D4ED2}"/>
    <cellStyle name="Note 4 2" xfId="2690" xr:uid="{104F9E56-2966-4ED4-9CAD-EB5AAD22FBDF}"/>
    <cellStyle name="Note 4 3" xfId="2451" xr:uid="{AC11143A-49FE-40F7-A201-6AB98197FB1F}"/>
    <cellStyle name="Note 4 4" xfId="2723" xr:uid="{A2C254E5-C28A-4896-8E96-ABDB251E27D9}"/>
    <cellStyle name="Note 5" xfId="1826" xr:uid="{B2557CF6-8CD9-4E12-A33A-170B57C571B0}"/>
    <cellStyle name="Note 5 2" xfId="2691" xr:uid="{FC32B3DB-BB22-4E83-A338-6BD0FE3002D2}"/>
    <cellStyle name="Note 5 3" xfId="2450" xr:uid="{C5488F6A-39C6-4EA7-B888-0E7DD600331F}"/>
    <cellStyle name="Note 5 4" xfId="2724" xr:uid="{0FED8E4E-F669-4553-8874-BF9E3AE146D0}"/>
    <cellStyle name="Note 6" xfId="1827" xr:uid="{5EE6F860-F203-4361-A2FE-E01CE05242D5}"/>
    <cellStyle name="Note 6 2" xfId="2692" xr:uid="{A78645C9-1DB2-43A3-9A16-3DF57C60D512}"/>
    <cellStyle name="Note 6 3" xfId="2449" xr:uid="{61588C6F-35A5-411C-BA2C-AABCA0AF770B}"/>
    <cellStyle name="Note 6 4" xfId="2725" xr:uid="{96FBA8EC-BC64-402C-92AE-2129916726D7}"/>
    <cellStyle name="Note 7" xfId="1828" xr:uid="{C868D24B-5E4C-4EF3-92A0-09413D52E923}"/>
    <cellStyle name="Note 7 2" xfId="2693" xr:uid="{88FEB0B2-B0B4-4F80-9CBD-2B2735AEFA07}"/>
    <cellStyle name="Note 7 3" xfId="2448" xr:uid="{D4F33B6B-EAA2-4F34-8DA1-A03814D49E4B}"/>
    <cellStyle name="Note 7 4" xfId="2726" xr:uid="{8A149F77-2074-4C37-A0E6-FF42F0A46287}"/>
    <cellStyle name="Note 8" xfId="1829" xr:uid="{0112F856-5EC8-4E45-B213-4CF4A439A0BE}"/>
    <cellStyle name="Note 8 2" xfId="2694" xr:uid="{4F9248DF-D8ED-4A36-9FF9-16B258A77803}"/>
    <cellStyle name="Note 8 3" xfId="2447" xr:uid="{CAD0CBFE-9BF0-4C44-9634-E488ACF88897}"/>
    <cellStyle name="Note 8 4" xfId="2727" xr:uid="{118D83D4-57E1-420C-87F3-F34DE241CBF5}"/>
    <cellStyle name="Note 9" xfId="1830" xr:uid="{B1BD6DB7-66F3-4CA3-B471-820CDD634551}"/>
    <cellStyle name="Note 9 2" xfId="2695" xr:uid="{A99508DF-E886-41FC-A59A-F908C0D4B76E}"/>
    <cellStyle name="Note 9 3" xfId="2446" xr:uid="{951286D2-2490-482E-8893-EB78D842251E}"/>
    <cellStyle name="Note 9 4" xfId="2728" xr:uid="{151B4FD8-B1B9-4435-8DB6-BB704DDCC890}"/>
    <cellStyle name="Notiz" xfId="1831" xr:uid="{9B1A6038-DB12-4B0B-B28C-393A7976ADEF}"/>
    <cellStyle name="Notiz 2" xfId="2696" xr:uid="{674F07B6-49B1-4E38-B365-D0482227A711}"/>
    <cellStyle name="Notiz 3" xfId="2445" xr:uid="{E2EBF72A-3DA9-49EC-A1A4-9819C1D3C916}"/>
    <cellStyle name="Otsikko" xfId="1832" xr:uid="{053C73CF-7008-4466-A984-3B52185DC00E}"/>
    <cellStyle name="Otsikko 1" xfId="1833" xr:uid="{24E230BC-4FCB-49EB-84CE-4E1F5188F435}"/>
    <cellStyle name="Otsikko 2" xfId="1834" xr:uid="{449C9246-9D7D-4008-A158-ECE88BA13F8F}"/>
    <cellStyle name="Otsikko 3" xfId="1835" xr:uid="{39C8F75D-3ECC-479F-8811-544D0F44BC90}"/>
    <cellStyle name="Otsikko 4" xfId="1836" xr:uid="{429A7D8E-81AB-4468-B6BA-BA57E1521EA8}"/>
    <cellStyle name="Output" xfId="10" builtinId="21" customBuiltin="1"/>
    <cellStyle name="Output 10" xfId="1837" xr:uid="{BD75280A-23AD-41CE-B205-8D2A566590E8}"/>
    <cellStyle name="Output 10 2" xfId="2697" xr:uid="{D7DAE455-6EAC-4A68-B0A5-BBCF2BDBEBF3}"/>
    <cellStyle name="Output 10 3" xfId="2444" xr:uid="{BF55D2D3-EAAE-4957-B475-6F35FF1B3249}"/>
    <cellStyle name="Output 10 4" xfId="2730" xr:uid="{81841A53-5453-4DAC-B68C-1C168CEAFC5B}"/>
    <cellStyle name="Output 11" xfId="1838" xr:uid="{2464B7B7-5784-47A9-962D-2371F9569C3D}"/>
    <cellStyle name="Output 11 2" xfId="2698" xr:uid="{A7D22116-95F1-410F-A840-0CDD85B12C88}"/>
    <cellStyle name="Output 11 3" xfId="2443" xr:uid="{80922CE5-BA43-46F6-84A9-A148C2D86AB7}"/>
    <cellStyle name="Output 11 4" xfId="2731" xr:uid="{F715EB47-2F41-48BB-87B9-E172BF1941AC}"/>
    <cellStyle name="Output 12" xfId="1839" xr:uid="{A68B78CE-0293-438D-A833-3537D7931490}"/>
    <cellStyle name="Output 12 2" xfId="2699" xr:uid="{304ADAEC-2F35-40DF-BBD4-EED6E54BE72E}"/>
    <cellStyle name="Output 12 3" xfId="2442" xr:uid="{5C43EB67-F53A-48CE-A1E3-2A7E66C4FF18}"/>
    <cellStyle name="Output 12 4" xfId="2732" xr:uid="{B048AF80-8277-49A7-BB7A-F7A8DD754533}"/>
    <cellStyle name="Output 13" xfId="1840" xr:uid="{E246DBCC-3E73-4B5F-B870-B1CA4388A1B2}"/>
    <cellStyle name="Output 13 2" xfId="2700" xr:uid="{7F33F2DA-6CB3-4134-8AD6-4A43C02BB0C4}"/>
    <cellStyle name="Output 13 3" xfId="2441" xr:uid="{2C29BCEE-6E24-44B6-8176-ECD7B11AD322}"/>
    <cellStyle name="Output 13 4" xfId="2733" xr:uid="{F68ACD57-29B1-4B5F-B85F-27BCA042F217}"/>
    <cellStyle name="Output 14" xfId="1841" xr:uid="{7CEBE257-AA25-466D-9FCB-EF7BCAD95DC4}"/>
    <cellStyle name="Output 14 2" xfId="2701" xr:uid="{DE7FAF52-13B6-4C26-B050-B36AB39A5E37}"/>
    <cellStyle name="Output 14 3" xfId="2440" xr:uid="{2DDF0DD5-0DCF-4742-8AE7-2BC45B12E6D7}"/>
    <cellStyle name="Output 14 4" xfId="2734" xr:uid="{A00C512C-8BD5-4F93-BBF4-6EEFF33B7F98}"/>
    <cellStyle name="Output 15" xfId="1842" xr:uid="{558ED85F-2CB9-4A15-828A-F933E65586BC}"/>
    <cellStyle name="Output 15 2" xfId="2702" xr:uid="{5E60F04C-ED1F-47B3-883E-42B4EBF3CB15}"/>
    <cellStyle name="Output 15 3" xfId="2439" xr:uid="{41A5116E-F5A8-4B4C-9BE1-70FAF1A83469}"/>
    <cellStyle name="Output 15 4" xfId="2735" xr:uid="{61B39AE0-30A1-472C-AC62-DE4BCB4541E6}"/>
    <cellStyle name="Output 16" xfId="1843" xr:uid="{7FA7E55F-DE4A-4DD8-8128-A1B0EF26EC89}"/>
    <cellStyle name="Output 16 2" xfId="2703" xr:uid="{14364246-6E5A-44E7-A067-0F7131A55A64}"/>
    <cellStyle name="Output 16 3" xfId="2438" xr:uid="{79E0B045-B6B0-4952-8836-CAD4C2E05A9F}"/>
    <cellStyle name="Output 16 4" xfId="2736" xr:uid="{258AA512-9840-4E01-BA07-5B2D6A759132}"/>
    <cellStyle name="Output 17" xfId="1844" xr:uid="{4F9D741B-469C-41CC-9316-A7D68AB298A8}"/>
    <cellStyle name="Output 17 2" xfId="2704" xr:uid="{8DE0C7B5-2887-46CD-B285-D744980EFD2E}"/>
    <cellStyle name="Output 17 3" xfId="2437" xr:uid="{7EE3DE1D-EF87-4D55-892A-BA0C40F0B553}"/>
    <cellStyle name="Output 17 4" xfId="2737" xr:uid="{914217AB-861B-4D09-83A7-9DDE162824FB}"/>
    <cellStyle name="Output 18" xfId="1845" xr:uid="{B8EAE9D6-C495-48AE-9B89-B04E200302E3}"/>
    <cellStyle name="Output 18 2" xfId="2705" xr:uid="{22B609EB-CD7B-40CE-9606-5D29763F4106}"/>
    <cellStyle name="Output 18 3" xfId="2436" xr:uid="{F43C8E9C-4325-4A5B-A816-066ADD270B0E}"/>
    <cellStyle name="Output 18 4" xfId="2738" xr:uid="{87E34911-8951-40BF-973D-67AFAA874AD3}"/>
    <cellStyle name="Output 2" xfId="1846" xr:uid="{B99D8481-F8F1-4280-BCC5-1EBBD6463CC4}"/>
    <cellStyle name="Output 2 2" xfId="2706" xr:uid="{530873B8-04A4-49E1-84C2-8983AE069139}"/>
    <cellStyle name="Output 2 3" xfId="2435" xr:uid="{B4DF3CD5-E6B5-4D1E-A2DB-5975BF8665AC}"/>
    <cellStyle name="Output 3" xfId="1847" xr:uid="{00C71B1F-C4F2-4FC0-89A9-2716C14116A5}"/>
    <cellStyle name="Output 3 2" xfId="2707" xr:uid="{FD306109-D02E-4C87-91C3-3D4649F365F1}"/>
    <cellStyle name="Output 3 3" xfId="2434" xr:uid="{5B9D0706-B883-42D4-B024-07C0EEEF98D0}"/>
    <cellStyle name="Output 4" xfId="1848" xr:uid="{FD840D62-9CB2-4E5F-8D53-314F54DC5001}"/>
    <cellStyle name="Output 4 2" xfId="2708" xr:uid="{54ADD1E7-3653-4049-894B-FF51DEF8ECD4}"/>
    <cellStyle name="Output 4 3" xfId="2433" xr:uid="{AF16BE88-6017-4B60-B1C7-3D839417375D}"/>
    <cellStyle name="Output 4 4" xfId="2739" xr:uid="{A7E00B4D-D4BA-4412-9121-6E9645707D03}"/>
    <cellStyle name="Output 5" xfId="1849" xr:uid="{F0737736-E798-4AE7-9962-C65EDEC0C134}"/>
    <cellStyle name="Output 5 2" xfId="2709" xr:uid="{A8BAAA90-B09B-4236-905C-0350645708B5}"/>
    <cellStyle name="Output 5 3" xfId="2432" xr:uid="{503CD388-DD95-4C6D-BE76-26E0787B2221}"/>
    <cellStyle name="Output 5 4" xfId="2740" xr:uid="{DEF187CB-A2F1-4CD0-99F7-FFDE5187753F}"/>
    <cellStyle name="Output 6" xfId="1850" xr:uid="{1498CC9F-70ED-4DF8-9D7E-23A8783D2123}"/>
    <cellStyle name="Output 6 2" xfId="2710" xr:uid="{2DBBB554-C112-40EA-B051-6FA81165E747}"/>
    <cellStyle name="Output 6 3" xfId="2431" xr:uid="{93F4F4B3-98DA-48EC-B0AB-4855DBD33E6C}"/>
    <cellStyle name="Output 6 4" xfId="2741" xr:uid="{2338D969-B2F9-40B0-9BDC-9669ADB3811C}"/>
    <cellStyle name="Output 7" xfId="1851" xr:uid="{240942BC-1FE8-4C58-B7B4-20E033E81317}"/>
    <cellStyle name="Output 7 2" xfId="2711" xr:uid="{473D768F-01F6-4E23-A8D8-F3DDA6FF87F3}"/>
    <cellStyle name="Output 7 3" xfId="2430" xr:uid="{239723E8-07F3-45E7-A52E-D7F32C6A27FD}"/>
    <cellStyle name="Output 7 4" xfId="2742" xr:uid="{BEC87DFA-B291-4F00-98F7-B55AA627C358}"/>
    <cellStyle name="Output 8" xfId="1852" xr:uid="{30F311CE-DE4C-41B4-92BF-F60F8BC9A444}"/>
    <cellStyle name="Output 8 2" xfId="2712" xr:uid="{108C678A-921A-40D8-B7E7-34191262E376}"/>
    <cellStyle name="Output 8 3" xfId="2429" xr:uid="{72881ECE-6959-4B20-945C-7E5DCFDB3935}"/>
    <cellStyle name="Output 8 4" xfId="2743" xr:uid="{BBA45BA9-0EAA-4102-B69C-16C1456834F4}"/>
    <cellStyle name="Output 9" xfId="1853" xr:uid="{F5C3C860-7734-47A4-916B-BDFD234F546A}"/>
    <cellStyle name="Output 9 2" xfId="2713" xr:uid="{7D4B7E00-EF3C-4BC6-82EA-18271557E15A}"/>
    <cellStyle name="Output 9 3" xfId="2428" xr:uid="{28566975-7230-4386-8D3D-F76C5EE37143}"/>
    <cellStyle name="Output 9 4" xfId="2744" xr:uid="{654997DB-5280-4E26-9431-F58E722B3FED}"/>
    <cellStyle name="Per cent" xfId="2" builtinId="5"/>
    <cellStyle name="Percent ()" xfId="1854" xr:uid="{C4C39F90-92A1-4FCB-BCD5-F3B5CD1BF727}"/>
    <cellStyle name="Percent () 2" xfId="1855" xr:uid="{68F7955D-F93C-499F-9E00-82A113575D37}"/>
    <cellStyle name="Percent () 3" xfId="1856" xr:uid="{9CD85A15-E8CC-4760-9B2D-DEBCF86AF287}"/>
    <cellStyle name="Percent 1" xfId="1857" xr:uid="{AD5354BF-9B01-49DE-AADB-B518FF136FB9}"/>
    <cellStyle name="Percent 1 2" xfId="1858" xr:uid="{41B0A817-798C-4414-A783-32F078A49832}"/>
    <cellStyle name="Percent 1 3" xfId="1859" xr:uid="{8954498D-B831-4735-9B26-85EA3B54664E}"/>
    <cellStyle name="Percent 10" xfId="1860" xr:uid="{AD735209-B33F-46CF-AAF1-6663522EE4AC}"/>
    <cellStyle name="Percent 10 2" xfId="1861" xr:uid="{449EF5B9-A33F-4417-8A3A-AF8CA26B6B56}"/>
    <cellStyle name="Percent 11" xfId="1862" xr:uid="{39F24CA9-9AE9-47B8-9174-589AEEEABBD9}"/>
    <cellStyle name="Percent 11 2" xfId="1863" xr:uid="{9703D9F3-1A91-4CF1-8454-4D2295418EF5}"/>
    <cellStyle name="Percent 12" xfId="1864" xr:uid="{15E09B22-FE7B-4767-8768-456936D81D7A}"/>
    <cellStyle name="Percent 13" xfId="1865" xr:uid="{346156B5-CCA2-4BF7-9CD4-05F2039C9F32}"/>
    <cellStyle name="Percent 14" xfId="1866" xr:uid="{5B043905-56D5-4F28-BC2A-4619B7486464}"/>
    <cellStyle name="Percent 15" xfId="1867" xr:uid="{F24B27AE-23F0-49C5-AAB7-D2AEF40F0C10}"/>
    <cellStyle name="Percent 15 2" xfId="1868" xr:uid="{4766C573-F005-483E-AAAF-FBA5B8357875}"/>
    <cellStyle name="Percent 16" xfId="1869" xr:uid="{5A846636-F2C8-4665-9E3F-0D0CE024CC7C}"/>
    <cellStyle name="Percent 16 2" xfId="1870" xr:uid="{6D680289-312F-4DC2-893C-E94C5D922815}"/>
    <cellStyle name="Percent 16 3" xfId="1871" xr:uid="{7B92A852-1422-422F-9AD1-971500A7933E}"/>
    <cellStyle name="Percent 16 4" xfId="1872" xr:uid="{22E11AC2-D6F3-4C7A-9001-A3D228A5C915}"/>
    <cellStyle name="Percent 17" xfId="1873" xr:uid="{6026182B-2807-4931-B564-DA0E925932B4}"/>
    <cellStyle name="Percent 2" xfId="57" xr:uid="{BD9919A8-DA4B-4B09-BCAD-A44175840467}"/>
    <cellStyle name="Percent 2 10" xfId="1875" xr:uid="{59C28567-B98A-4402-8D54-37A06C988C5C}"/>
    <cellStyle name="Percent 2 10 2" xfId="1876" xr:uid="{B9B9C6A1-ECFB-4DD2-9DE8-88602B9BEAA8}"/>
    <cellStyle name="Percent 2 10 3" xfId="1877" xr:uid="{66D30F5E-6C37-4FCB-AC6E-DAD2A111FA06}"/>
    <cellStyle name="Percent 2 11" xfId="1878" xr:uid="{0E56BD53-6E21-43FF-9A62-B809176D506E}"/>
    <cellStyle name="Percent 2 11 2" xfId="1879" xr:uid="{ECA1C194-07CC-4767-8495-E2BD6274C11A}"/>
    <cellStyle name="Percent 2 11 3" xfId="1880" xr:uid="{CA5C844A-32F6-49B8-A8D7-A25A79ABF063}"/>
    <cellStyle name="Percent 2 11 4" xfId="1881" xr:uid="{CF1ACC5E-266D-451F-8279-508A861C950B}"/>
    <cellStyle name="Percent 2 12" xfId="1882" xr:uid="{8E3A62C5-196B-4665-BB19-9A80F0E619CE}"/>
    <cellStyle name="Percent 2 13" xfId="1883" xr:uid="{2E16A443-C864-45CF-9DBD-D8B03FBEE64A}"/>
    <cellStyle name="Percent 2 14" xfId="1884" xr:uid="{4669334E-8B97-4292-A410-5F9BBC2E26D1}"/>
    <cellStyle name="Percent 2 15" xfId="1885" xr:uid="{B2158AC5-1826-43B4-A78D-CCDA3A3698FC}"/>
    <cellStyle name="Percent 2 16" xfId="1886" xr:uid="{1FD647EF-F85D-4185-8803-8F9BC03FF55C}"/>
    <cellStyle name="Percent 2 17" xfId="1887" xr:uid="{C806A52F-A9E0-4E34-9B1A-3E6F00D9EBD2}"/>
    <cellStyle name="Percent 2 18" xfId="1888" xr:uid="{F6E91011-088C-47CF-8690-862427966CD4}"/>
    <cellStyle name="Percent 2 18 2" xfId="1889" xr:uid="{D1D75428-D020-4B46-A1EB-0AF3FE060764}"/>
    <cellStyle name="Percent 2 19" xfId="1890" xr:uid="{5544E3B1-700C-4BAC-BC9A-EE9ECD6B1C4D}"/>
    <cellStyle name="Percent 2 2" xfId="1891" xr:uid="{512A6E10-F807-4B48-80B0-DB96079764D6}"/>
    <cellStyle name="Percent 2 2 2" xfId="1892" xr:uid="{B011CDCD-A453-4556-945F-37F778D33466}"/>
    <cellStyle name="Percent 2 2 2 2" xfId="1893" xr:uid="{BF52ED7D-70C1-4D0E-A9DD-507ADD0B0D45}"/>
    <cellStyle name="Percent 2 2 2 2 2" xfId="1894" xr:uid="{F52366FD-FAEB-4ABC-BD8F-5EF059F0F071}"/>
    <cellStyle name="Percent 2 2 2 2 2 2" xfId="1895" xr:uid="{7432BEDE-050B-435F-9716-8B2A7979057A}"/>
    <cellStyle name="Percent 2 2 2 2 2 2 2" xfId="1896" xr:uid="{E14B93D0-CB47-42AB-8B7E-20934B71911D}"/>
    <cellStyle name="Percent 2 2 2 2 2 2 2 2" xfId="1897" xr:uid="{2FE63ED4-6B4C-4AB8-9AA8-AED7E468F6E1}"/>
    <cellStyle name="Percent 2 2 2 2 2 2 3" xfId="1898" xr:uid="{41B25FB9-33C5-49D4-9FCD-12B6EC6D6222}"/>
    <cellStyle name="Percent 2 2 2 2 2 3" xfId="1899" xr:uid="{3098ADDC-27C3-4854-B529-6D11B9A96043}"/>
    <cellStyle name="Percent 2 2 2 2 3" xfId="1900" xr:uid="{CB46043A-9892-49CA-A863-6600AF0E8202}"/>
    <cellStyle name="Percent 2 2 2 2 3 2" xfId="1901" xr:uid="{A3528C51-C3A9-4F8F-81B9-34B44CDA674B}"/>
    <cellStyle name="Percent 2 2 2 2 4" xfId="1902" xr:uid="{D0D97035-16CE-4240-9EAA-38541386F661}"/>
    <cellStyle name="Percent 2 2 2 3" xfId="1903" xr:uid="{B96F75F7-F994-4A10-B18E-631696D23B45}"/>
    <cellStyle name="Percent 2 2 2 3 2" xfId="1904" xr:uid="{10445D17-056E-4D2B-8660-877D84AAC5AD}"/>
    <cellStyle name="Percent 2 2 2 4" xfId="1905" xr:uid="{ABFA37FC-243C-4B7F-BA67-D9D32F7C8985}"/>
    <cellStyle name="Percent 2 2 2 4 2" xfId="1906" xr:uid="{2048CEF6-2BC8-455F-82FE-216FB68344A6}"/>
    <cellStyle name="Percent 2 2 2 4 3" xfId="1907" xr:uid="{5D0B98BE-3F06-4838-9F72-4ED6E5984EDB}"/>
    <cellStyle name="Percent 2 2 3" xfId="1908" xr:uid="{01180E0A-1FAB-4E11-BEA2-001200E94FB0}"/>
    <cellStyle name="Percent 2 2 3 2" xfId="1909" xr:uid="{B947D317-7103-4971-A215-40E03996E11E}"/>
    <cellStyle name="Percent 2 2 4" xfId="1910" xr:uid="{CF235F5E-0464-40D5-9366-8D2E6E53D99F}"/>
    <cellStyle name="Percent 2 2 4 2" xfId="1911" xr:uid="{815C5296-89D2-4FB6-8E47-DA887DC2D5C3}"/>
    <cellStyle name="Percent 2 2 5" xfId="1912" xr:uid="{6F6FEFA3-32A9-42EE-94E9-25B4853FD4E9}"/>
    <cellStyle name="Percent 2 2 5 2" xfId="1913" xr:uid="{0AA7E66A-8695-4AE7-8B2F-55B12358E21B}"/>
    <cellStyle name="Percent 2 2 5 2 2" xfId="1914" xr:uid="{A8CA76A6-6941-42DE-B021-0D8E6834FFB0}"/>
    <cellStyle name="Percent 2 2 6" xfId="1915" xr:uid="{26ED2600-50BC-456B-B7E5-CA5653235440}"/>
    <cellStyle name="Percent 2 2 7" xfId="1916" xr:uid="{78F628DA-400C-45D7-985C-01B337EAEFED}"/>
    <cellStyle name="Percent 2 20" xfId="1874" xr:uid="{F759AE39-3719-4C7B-A46A-E20F6B8EB239}"/>
    <cellStyle name="Percent 2 3" xfId="1917" xr:uid="{78FCFC51-323A-4D33-B1D2-A3DC1E9B952F}"/>
    <cellStyle name="Percent 2 3 2" xfId="1918" xr:uid="{3BEEB93D-B109-4B76-BA84-31217FC94D71}"/>
    <cellStyle name="Percent 2 3 2 2" xfId="1919" xr:uid="{4B3B46A6-6D42-4F7E-9996-8E4318552E80}"/>
    <cellStyle name="Percent 2 3 2 2 2" xfId="1920" xr:uid="{D6455A78-3247-452E-8135-A416239B4DD4}"/>
    <cellStyle name="Percent 2 3 2 3" xfId="1921" xr:uid="{3FBDBEC0-4ED0-4673-B22B-E8D230E7986B}"/>
    <cellStyle name="Percent 2 3 2 3 2" xfId="1922" xr:uid="{66E6AF46-8EB4-4CD1-953A-9BD15E6BBA4B}"/>
    <cellStyle name="Percent 2 3 2 4" xfId="1923" xr:uid="{E17B937E-B6DF-4E65-9493-5DD35AFCABF7}"/>
    <cellStyle name="Percent 2 3 3" xfId="1924" xr:uid="{F866F099-5931-4532-A498-2AEFC46FEC9A}"/>
    <cellStyle name="Percent 2 3 3 2" xfId="1925" xr:uid="{91402069-AF3C-487E-89E3-FA1EF5EDB1B9}"/>
    <cellStyle name="Percent 2 3 4" xfId="1926" xr:uid="{84AA2C6F-6603-4A1D-B54B-9B89472703E3}"/>
    <cellStyle name="Percent 2 3 4 2" xfId="1927" xr:uid="{567C1EEA-6A2B-4A4B-9A5A-B2DB8F0DF81C}"/>
    <cellStyle name="Percent 2 4" xfId="1928" xr:uid="{9931FD17-D30C-461B-91F6-3DF694DCEEC4}"/>
    <cellStyle name="Percent 2 4 2" xfId="1929" xr:uid="{3889FBD8-EB10-459E-970A-3BC890F60A5C}"/>
    <cellStyle name="Percent 2 4 2 2" xfId="1930" xr:uid="{6B3C1883-534C-48CA-B069-792BD3DCC9C9}"/>
    <cellStyle name="Percent 2 4 3" xfId="1931" xr:uid="{0365C333-1556-499B-933C-EE3A57548E89}"/>
    <cellStyle name="Percent 2 4 4" xfId="1932" xr:uid="{64FDA10E-7B1C-45C0-A165-D61D3F22CA08}"/>
    <cellStyle name="Percent 2 4 5" xfId="1933" xr:uid="{C1F0F6DC-FFA4-481E-A985-59A3867BFD14}"/>
    <cellStyle name="Percent 2 5" xfId="1934" xr:uid="{ED18E858-7469-46A7-A290-6CA97E02EB02}"/>
    <cellStyle name="Percent 2 5 2" xfId="1935" xr:uid="{55A4DB0C-2600-443E-A4C3-829A1BE7CC87}"/>
    <cellStyle name="Percent 2 5 2 2" xfId="1936" xr:uid="{E4176B56-E87E-410F-AE21-E50218D2B1DB}"/>
    <cellStyle name="Percent 2 5 3" xfId="1937" xr:uid="{3A308F24-75AF-487E-9849-D4C76F4B3661}"/>
    <cellStyle name="Percent 2 5 4" xfId="1938" xr:uid="{A773C7B4-C9D9-45EF-A429-8EC076763441}"/>
    <cellStyle name="Percent 2 5 5" xfId="1939" xr:uid="{82C0A6B0-F8E4-4D25-8D3D-5B0E0AE01C0B}"/>
    <cellStyle name="Percent 2 6" xfId="1940" xr:uid="{EA8F44AF-820E-48F5-BD7B-FC0A9EB164B1}"/>
    <cellStyle name="Percent 2 6 2" xfId="1941" xr:uid="{08490DE1-2F48-47A0-AD70-F93D0FC28875}"/>
    <cellStyle name="Percent 2 6 2 2" xfId="1942" xr:uid="{273D4383-0B4C-4548-83DC-5A34DBF5323E}"/>
    <cellStyle name="Percent 2 7" xfId="1943" xr:uid="{28CC9BD9-357C-4EB8-A40A-0E7D0F492D3D}"/>
    <cellStyle name="Percent 2 7 2" xfId="1944" xr:uid="{30B930C1-BB9D-45EA-AE30-8B767FEA7C0B}"/>
    <cellStyle name="Percent 2 7 3" xfId="1945" xr:uid="{0BBF6EAB-8E81-4E78-8B00-75909B17AC9C}"/>
    <cellStyle name="Percent 2 8" xfId="1946" xr:uid="{51C302AE-E1C7-4C09-A9B1-4A5A6CA2A149}"/>
    <cellStyle name="Percent 2 9" xfId="1947" xr:uid="{FED0050F-2090-4BE1-95B5-FB7E8BC86513}"/>
    <cellStyle name="Percent 2 9 2" xfId="1948" xr:uid="{E09AA756-4D7B-4679-8770-5E89467BFDC1}"/>
    <cellStyle name="Percent 2 9 3" xfId="1949" xr:uid="{16478BF0-C97F-46B7-9F40-3A966EFBC131}"/>
    <cellStyle name="Percent 2 9 4" xfId="1950" xr:uid="{3C8B91E6-0563-4044-BEEC-B24F305B7EFF}"/>
    <cellStyle name="Percent 3" xfId="1951" xr:uid="{654A2AE7-A953-44D8-93A2-94C5E165F6F3}"/>
    <cellStyle name="Percent 3 2" xfId="1952" xr:uid="{41964981-2F81-4EEE-A1B1-802DB040BC28}"/>
    <cellStyle name="Percent 3 2 2" xfId="1953" xr:uid="{4F823697-66DB-451D-AB8F-5000E68FCCC2}"/>
    <cellStyle name="Percent 3 2 2 2" xfId="1954" xr:uid="{FEA61D2B-0F34-4B20-B183-4D1C2BF8D5CA}"/>
    <cellStyle name="Percent 3 2 2 2 2" xfId="1955" xr:uid="{5207C127-B208-4EC5-B1D4-D15AEF87905A}"/>
    <cellStyle name="Percent 3 2 3" xfId="1956" xr:uid="{9AF2A8BF-9E91-411E-8178-87E372CDE1A5}"/>
    <cellStyle name="Percent 3 3" xfId="1957" xr:uid="{642FB6BF-4370-494F-9DF7-0CBD5E2D565C}"/>
    <cellStyle name="Percent 3 4" xfId="1958" xr:uid="{DA6B4CA2-4208-4698-9019-C1B942CBB763}"/>
    <cellStyle name="Percent 3 5" xfId="1959" xr:uid="{61F5A449-85DC-403C-B2C7-3C06B85EF793}"/>
    <cellStyle name="Percent 3 6" xfId="1960" xr:uid="{FCDC62C0-6721-4BE0-866E-FC5ECC64CFD8}"/>
    <cellStyle name="Percent 4" xfId="1961" xr:uid="{69CDF520-9E1E-44F3-A06A-0B4D70D77EAE}"/>
    <cellStyle name="Percent 5" xfId="1962" xr:uid="{7862EAB8-A237-4BEA-AB64-130B56C5FD7E}"/>
    <cellStyle name="Percent 6" xfId="1963" xr:uid="{29CCD24C-F36D-4D49-81FC-97B7E68BAE30}"/>
    <cellStyle name="Percent 7" xfId="1964" xr:uid="{1632C629-6FE4-4A97-9A87-1920754201B6}"/>
    <cellStyle name="Percent 8" xfId="1965" xr:uid="{254BDAC3-3670-485F-9758-A2FA0A40644D}"/>
    <cellStyle name="Percent 8 2" xfId="1966" xr:uid="{101C6B52-E9B5-4A2A-9045-2A64A87C4715}"/>
    <cellStyle name="Percent 8 3" xfId="1967" xr:uid="{4E7FF502-317B-4D64-89D9-F153445A9D76}"/>
    <cellStyle name="Percent 9" xfId="1968" xr:uid="{2C026C00-F427-4F77-A1B1-748375C756D4}"/>
    <cellStyle name="PercentCell" xfId="1969" xr:uid="{6894E404-1BA0-47F3-88F9-82D4D09A5C78}"/>
    <cellStyle name="Pourcentage 2" xfId="1970" xr:uid="{05E7B2A0-8E96-4168-919C-D6E12D6952F4}"/>
    <cellStyle name="QIS2 Sub-Title" xfId="1971" xr:uid="{1F2EDE3E-A920-4555-992C-B4B6783EDD11}"/>
    <cellStyle name="QIS2 Sub-Title 2" xfId="2729" xr:uid="{F94BD9BA-FA20-4FF7-B547-580ACC82AE85}"/>
    <cellStyle name="QIS2 Sub-Title 3" xfId="2427" xr:uid="{777C044D-2726-41FD-AB4E-74085CE9948E}"/>
    <cellStyle name="QIS2 Sub-Title 4" xfId="2426" xr:uid="{BD593C34-4C16-48AC-81BA-FC599915BE3E}"/>
    <cellStyle name="QIS2CalcCell" xfId="1972" xr:uid="{163B5D00-D1D7-4F67-9574-93E650DCD257}"/>
    <cellStyle name="QIS2Filler" xfId="1973" xr:uid="{01EDC804-430D-4937-AC50-A3C578293F52}"/>
    <cellStyle name="QIS2Heading" xfId="1974" xr:uid="{E222EF97-9406-42BE-BFBC-F9CF1E0D74D1}"/>
    <cellStyle name="QIS2InputCell" xfId="1975" xr:uid="{0F61D202-A918-4130-B3A4-9D8EB5380AED}"/>
    <cellStyle name="QIS2Locked" xfId="1976" xr:uid="{F0A6349A-D681-42CD-9B6E-D6EECFA67440}"/>
    <cellStyle name="QIS2Para" xfId="1977" xr:uid="{2FEBE14F-0F34-4F60-83FA-E1E246E4784D}"/>
    <cellStyle name="QIS2Param" xfId="1978" xr:uid="{F4A6ED44-D44C-42F1-93C7-B868AC9B3739}"/>
    <cellStyle name="QIS4DescrCell1" xfId="1979" xr:uid="{314F1D26-14E7-40B8-A3C5-00D67A7B7748}"/>
    <cellStyle name="QIS4DescrCell2" xfId="1980" xr:uid="{37884487-4700-47F3-85AD-DF3C84F90F92}"/>
    <cellStyle name="QIS4InputCellAbs" xfId="1981" xr:uid="{80173E17-A29D-427B-9F02-76844439CF67}"/>
    <cellStyle name="QIS4InputCellPerc" xfId="1982" xr:uid="{8E956B3E-BF5A-4F6E-95F1-D0F0E739D2E0}"/>
    <cellStyle name="QIS5Area" xfId="1983" xr:uid="{B6329325-D00C-45C2-A70C-7CE29BBF20A3}"/>
    <cellStyle name="QIS5Area 10" xfId="1984" xr:uid="{92AD9CA3-B326-4234-857E-13521D4DF94F}"/>
    <cellStyle name="QIS5Area 10 2" xfId="1985" xr:uid="{E2FA62D4-2A3C-4D1A-9EDA-41AFC010C8D2}"/>
    <cellStyle name="QIS5Area 10 3" xfId="1986" xr:uid="{C002BE51-A194-4026-AC23-EEA0ABA92AD5}"/>
    <cellStyle name="QIS5Area 11" xfId="1987" xr:uid="{7CA5CB56-96E7-44E5-96E6-F8496B58F84D}"/>
    <cellStyle name="QIS5Area 11 2" xfId="1988" xr:uid="{718C9778-207E-42E7-A7BE-7FC38B861CD0}"/>
    <cellStyle name="QIS5Area 11 3" xfId="1989" xr:uid="{A2CD19A5-DEBC-49B2-8870-698C6135F659}"/>
    <cellStyle name="QIS5Area 12" xfId="1990" xr:uid="{2E5ACA55-C7D4-4E01-AE8D-AB5FACB1FBB9}"/>
    <cellStyle name="QIS5Area 12 2" xfId="1991" xr:uid="{B1CE20B6-B455-42F3-923E-5069CB22DA0B}"/>
    <cellStyle name="QIS5Area 12 3" xfId="1992" xr:uid="{2CBAE442-A467-4DB3-90DD-E03FDD0E9552}"/>
    <cellStyle name="QIS5Area 13" xfId="1993" xr:uid="{70007CF2-90D8-4125-8473-91CE3879E6DE}"/>
    <cellStyle name="QIS5Area 13 2" xfId="1994" xr:uid="{762611A1-E6B6-4BD6-A4B7-3E2CFE994660}"/>
    <cellStyle name="QIS5Area 13 3" xfId="1995" xr:uid="{79C2A5D5-5264-4FC3-8767-2361F132C12C}"/>
    <cellStyle name="QIS5Area 14" xfId="1996" xr:uid="{45A710EA-FA61-4AA0-9667-183A68BEB595}"/>
    <cellStyle name="QIS5Area 14 2" xfId="1997" xr:uid="{AB2BE4BC-95E6-4A35-B2F3-7C92EEFD9133}"/>
    <cellStyle name="QIS5Area 14 3" xfId="1998" xr:uid="{85060D26-BAAF-424B-8FD2-63018C4DAFCA}"/>
    <cellStyle name="QIS5Area 15" xfId="1999" xr:uid="{3ED03AD2-43A1-486C-BF09-C2B1E6482C87}"/>
    <cellStyle name="QIS5Area 15 2" xfId="2000" xr:uid="{7DB101AD-40C6-46C1-BAEC-EFAEE2CDA980}"/>
    <cellStyle name="QIS5Area 15 3" xfId="2001" xr:uid="{5A4C4DC0-65CA-443C-955F-2BDD2322C8E8}"/>
    <cellStyle name="QIS5Area 16" xfId="2002" xr:uid="{4DCF2F75-4A18-4644-9095-AAC5AD8A2A63}"/>
    <cellStyle name="QIS5Area 16 2" xfId="2003" xr:uid="{F7F153A0-8DD7-48E4-A37D-4C6EE906A5E4}"/>
    <cellStyle name="QIS5Area 16 3" xfId="2004" xr:uid="{892E7442-97B1-4CAF-9F48-124922CBD5B9}"/>
    <cellStyle name="QIS5Area 17" xfId="2005" xr:uid="{810825CB-78F5-4880-8B8C-F86DCA18ADA5}"/>
    <cellStyle name="QIS5Area 17 2" xfId="2006" xr:uid="{7DCADD2F-E066-47D3-88D8-E008D7102A52}"/>
    <cellStyle name="QIS5Area 17 3" xfId="2007" xr:uid="{AA53CC4E-9D98-4C3B-955C-51452706D103}"/>
    <cellStyle name="QIS5Area 18" xfId="2008" xr:uid="{CD81F269-2609-413A-9F28-C6FB75D73861}"/>
    <cellStyle name="QIS5Area 18 2" xfId="2009" xr:uid="{56B2FEE1-CAA7-4F4B-976E-B2CA47EC7E91}"/>
    <cellStyle name="QIS5Area 18 3" xfId="2010" xr:uid="{81A85511-D434-452D-8503-3B9EC2A9D63B}"/>
    <cellStyle name="QIS5Area 19" xfId="2011" xr:uid="{CFF505FB-B9BD-4046-8B6D-723154A13DF0}"/>
    <cellStyle name="QIS5Area 19 2" xfId="2012" xr:uid="{BAA0D656-04E5-4835-8E2A-D9F6FAF98037}"/>
    <cellStyle name="QIS5Area 19 3" xfId="2013" xr:uid="{101A325B-6EC0-416F-A4B2-B9BA7360058A}"/>
    <cellStyle name="QIS5Area 2" xfId="2014" xr:uid="{4AF034F4-A840-4BCA-B048-51030E124F3E}"/>
    <cellStyle name="QIS5Area 2 2" xfId="2015" xr:uid="{3B15AB1F-CD06-449E-999E-E7847A322C11}"/>
    <cellStyle name="QIS5Area 2 3" xfId="2016" xr:uid="{070CED2C-772A-4054-899F-D71A3E1AAE91}"/>
    <cellStyle name="QIS5Area 20" xfId="2017" xr:uid="{084A87B2-D02D-4ACC-B53A-A804C61BD38D}"/>
    <cellStyle name="QIS5Area 20 2" xfId="2018" xr:uid="{A634BB69-4A1F-4F34-8CD6-BD28ECBEA23C}"/>
    <cellStyle name="QIS5Area 20 3" xfId="2019" xr:uid="{96DD6FFC-90FC-4725-9B7E-342C2027A6AF}"/>
    <cellStyle name="QIS5Area 21" xfId="2020" xr:uid="{774FA36D-43F6-4D90-9F68-27E319654A13}"/>
    <cellStyle name="QIS5Area 21 2" xfId="2021" xr:uid="{5D7AEC02-EA42-48F3-B6FA-E9F041054B66}"/>
    <cellStyle name="QIS5Area 21 3" xfId="2022" xr:uid="{C7D686AF-2ECF-4A12-966D-8E4F618C5A16}"/>
    <cellStyle name="QIS5Area 22" xfId="2023" xr:uid="{71F82163-3235-4F5B-8FD7-7CD6A662A5D4}"/>
    <cellStyle name="QIS5Area 22 2" xfId="2024" xr:uid="{B34F3879-AC12-4D5C-98B6-AA344BDC68E1}"/>
    <cellStyle name="QIS5Area 22 3" xfId="2025" xr:uid="{0D0348C8-DD12-4617-A608-AFA00B226236}"/>
    <cellStyle name="QIS5Area 23" xfId="2026" xr:uid="{1224C5F3-44E2-47E3-8B86-6D9DBE2BE5DE}"/>
    <cellStyle name="QIS5Area 23 2" xfId="2027" xr:uid="{543A7D72-D57C-4F13-BB19-09FE01540981}"/>
    <cellStyle name="QIS5Area 23 3" xfId="2028" xr:uid="{73979D52-6F5D-4308-83EE-758E3084785F}"/>
    <cellStyle name="QIS5Area 24" xfId="2029" xr:uid="{2C0872FB-953F-4731-9FCA-47D158D97DCC}"/>
    <cellStyle name="QIS5Area 24 2" xfId="2030" xr:uid="{1D03F13B-9090-47A5-B1D1-7580F8285B52}"/>
    <cellStyle name="QIS5Area 24 3" xfId="2031" xr:uid="{FDC8C48F-AA21-4AB7-945E-21959DED6B79}"/>
    <cellStyle name="QIS5Area 25" xfId="2032" xr:uid="{EBF0B949-1F12-4326-A1B6-41101029B49D}"/>
    <cellStyle name="QIS5Area 25 2" xfId="2033" xr:uid="{1FF9F092-8793-44C1-B504-6F02B39941B6}"/>
    <cellStyle name="QIS5Area 25 3" xfId="2034" xr:uid="{245AE907-F70B-4CD3-BACA-121C0548720D}"/>
    <cellStyle name="QIS5Area 26" xfId="2035" xr:uid="{8CAE9371-1621-4435-AAA9-B436E976215A}"/>
    <cellStyle name="QIS5Area 26 2" xfId="2036" xr:uid="{626C0750-B33B-4583-8F93-4D826AD8E43A}"/>
    <cellStyle name="QIS5Area 26 3" xfId="2037" xr:uid="{AD993D22-D1C8-4D50-BE21-37DA13F574DE}"/>
    <cellStyle name="QIS5Area 27" xfId="2038" xr:uid="{4ED73258-DB7A-4B16-B90C-E75B43729386}"/>
    <cellStyle name="QIS5Area 27 2" xfId="2039" xr:uid="{BD0BA0AA-B047-4DB2-9852-123CDDD7C714}"/>
    <cellStyle name="QIS5Area 27 3" xfId="2040" xr:uid="{45521DAC-77A0-4F24-B57F-CC211BCC082F}"/>
    <cellStyle name="QIS5Area 28" xfId="2041" xr:uid="{7298F03B-840D-4D71-A701-80FF9783DE37}"/>
    <cellStyle name="QIS5Area 28 2" xfId="2042" xr:uid="{BC2FD72F-02B1-469B-AC5B-43139B304713}"/>
    <cellStyle name="QIS5Area 28 3" xfId="2043" xr:uid="{69F8F72F-859C-4A07-A3FC-0A50F1AD852D}"/>
    <cellStyle name="QIS5Area 29" xfId="2044" xr:uid="{19232101-3F74-4D85-BA5D-8AD5236785FE}"/>
    <cellStyle name="QIS5Area 29 2" xfId="2045" xr:uid="{B9C47CAD-2D28-457F-8B0C-6D89AA5A4901}"/>
    <cellStyle name="QIS5Area 29 3" xfId="2046" xr:uid="{762465BB-08C3-4794-9E77-31E4F8539F4C}"/>
    <cellStyle name="QIS5Area 3" xfId="2047" xr:uid="{75F8EDF1-9F3C-44DB-914D-EA9766627529}"/>
    <cellStyle name="QIS5Area 3 2" xfId="2048" xr:uid="{0B70EC6A-4A5B-452E-B605-BD8325630747}"/>
    <cellStyle name="QIS5Area 3 3" xfId="2049" xr:uid="{01FA9397-A844-4F73-97D6-A6AEC207EC93}"/>
    <cellStyle name="QIS5Area 4" xfId="2050" xr:uid="{5EA784CC-1625-4926-9185-D079EE2E4E67}"/>
    <cellStyle name="QIS5Area 4 2" xfId="2051" xr:uid="{05B643CF-890D-45B5-91F9-B6CCA394D0A3}"/>
    <cellStyle name="QIS5Area 4 3" xfId="2052" xr:uid="{8F7ABF07-8DA2-4365-A933-78370CC0BE7F}"/>
    <cellStyle name="QIS5Area 5" xfId="2053" xr:uid="{EB7DFD23-C3A1-49C7-BF91-112989350AF2}"/>
    <cellStyle name="QIS5Area 5 2" xfId="2054" xr:uid="{0194DF28-FF3D-4609-A312-B98D9DB09CD4}"/>
    <cellStyle name="QIS5Area 5 3" xfId="2055" xr:uid="{1199598C-56B9-46CF-9302-5AB69DD7E459}"/>
    <cellStyle name="QIS5Area 6" xfId="2056" xr:uid="{E5A54BF6-BC9C-4B8A-8974-8DCA2F431723}"/>
    <cellStyle name="QIS5Area 6 2" xfId="2057" xr:uid="{47B48B1C-EA1C-4D4F-B863-D705319EF3CD}"/>
    <cellStyle name="QIS5Area 6 3" xfId="2058" xr:uid="{735BE761-3B4E-4A00-9825-9987B6B6D997}"/>
    <cellStyle name="QIS5Area 7" xfId="2059" xr:uid="{67D6C47A-93D9-420F-B90C-BAFEABE7DDBD}"/>
    <cellStyle name="QIS5Area 7 2" xfId="2060" xr:uid="{8A3E1AB1-EA66-4758-BE54-3BF9CDF39C69}"/>
    <cellStyle name="QIS5Area 7 3" xfId="2061" xr:uid="{34FE8F96-C498-4F1E-82D8-D7CB53D4C55F}"/>
    <cellStyle name="QIS5Area 8" xfId="2062" xr:uid="{8A7E8FDE-054E-4EAF-93FE-4B16A69D967A}"/>
    <cellStyle name="QIS5Area 8 2" xfId="2063" xr:uid="{599FD60F-0514-49E5-9D93-8733C5BE5278}"/>
    <cellStyle name="QIS5Area 8 3" xfId="2064" xr:uid="{75F37D77-EECD-44A8-BDAB-F3F758972C3A}"/>
    <cellStyle name="QIS5Area 9" xfId="2065" xr:uid="{9040ADFE-7126-4919-BF1A-256C9D10AAB1}"/>
    <cellStyle name="QIS5Area 9 2" xfId="2066" xr:uid="{8E679145-062D-4C02-A78A-E383AA6BE7A5}"/>
    <cellStyle name="QIS5Area 9 3" xfId="2067" xr:uid="{86EEDF36-FCB5-4791-9223-8F35F0351427}"/>
    <cellStyle name="QIS5CalcCell" xfId="2068" xr:uid="{42885B82-A2D0-4B0F-BA6E-482430DD216E}"/>
    <cellStyle name="QIS5Check" xfId="2069" xr:uid="{8FC1C6EF-DC9F-44D1-BE29-6F44BAD50193}"/>
    <cellStyle name="QIS5Empty" xfId="2070" xr:uid="{9B52EC13-2B55-4B18-AD34-2563F8AE760F}"/>
    <cellStyle name="QIS5Empty 10" xfId="2071" xr:uid="{D0C77CB6-AAF1-4BF8-AF6E-A7026889EC13}"/>
    <cellStyle name="QIS5Empty 11" xfId="2072" xr:uid="{5A504655-05E4-49E7-ACEE-7B6CC7CFE3B5}"/>
    <cellStyle name="QIS5Empty 12" xfId="2073" xr:uid="{76634C49-8504-4634-B2B7-ACD492DB525E}"/>
    <cellStyle name="QIS5Empty 13" xfId="2074" xr:uid="{9B9969A4-6781-4875-9D41-61426EB991CD}"/>
    <cellStyle name="QIS5Empty 14" xfId="2075" xr:uid="{98B3F8BB-2E9C-4CDA-BC55-E4FC5BD95A60}"/>
    <cellStyle name="QIS5Empty 15" xfId="2076" xr:uid="{F26B21DB-1C4F-4D23-AFE3-B7AB9D1A31ED}"/>
    <cellStyle name="QIS5Empty 16" xfId="2077" xr:uid="{5C523CBE-81E1-4280-B963-A487405083AE}"/>
    <cellStyle name="QIS5Empty 17" xfId="2078" xr:uid="{71909341-98D1-4439-8D17-F8BCECD3F422}"/>
    <cellStyle name="QIS5Empty 18" xfId="2079" xr:uid="{C6F00230-DC16-497B-9C3A-4B134299932E}"/>
    <cellStyle name="QIS5Empty 19" xfId="2080" xr:uid="{C00205CD-E01E-473A-82B4-E3FFE8F2581A}"/>
    <cellStyle name="QIS5Empty 2" xfId="2081" xr:uid="{434542AE-4C4A-4C7C-A347-460157A50F89}"/>
    <cellStyle name="QIS5Empty 20" xfId="2082" xr:uid="{8DBA33AE-130A-4CF6-8F38-5650ABEF1EC6}"/>
    <cellStyle name="QIS5Empty 21" xfId="2083" xr:uid="{5CBF1C7E-CA56-490B-B401-78D7376F7DBB}"/>
    <cellStyle name="QIS5Empty 22" xfId="2084" xr:uid="{41EB3A03-CBA0-48FD-AEC2-04B057E5BDA8}"/>
    <cellStyle name="QIS5Empty 23" xfId="2085" xr:uid="{A7B5809A-3997-41FC-A4B8-7B4EF214B6DF}"/>
    <cellStyle name="QIS5Empty 24" xfId="2086" xr:uid="{410391F6-B04D-4CB3-AFFE-48C1A7D0F9AD}"/>
    <cellStyle name="QIS5Empty 25" xfId="2087" xr:uid="{660CD68F-73F2-4BC6-A91A-34A5766E9E04}"/>
    <cellStyle name="QIS5Empty 26" xfId="2088" xr:uid="{930175B3-597E-414A-AE44-72FDB6529552}"/>
    <cellStyle name="QIS5Empty 27" xfId="2089" xr:uid="{EF9FE90E-02C3-4291-A475-E6C3C0754385}"/>
    <cellStyle name="QIS5Empty 28" xfId="2090" xr:uid="{3DE4D37C-EE93-4E6E-8A59-8C05C891B7A4}"/>
    <cellStyle name="QIS5Empty 29" xfId="2091" xr:uid="{FB06EC44-9D2A-478B-9C9A-BE96E179026E}"/>
    <cellStyle name="QIS5Empty 3" xfId="2092" xr:uid="{F689CD34-E127-4976-9A39-2612FC999134}"/>
    <cellStyle name="QIS5Empty 30" xfId="2093" xr:uid="{7ADA433D-CEE7-4C5C-BDCA-D4F52794AE3A}"/>
    <cellStyle name="QIS5Empty 31" xfId="2094" xr:uid="{5AD18B5C-D660-44B3-8452-B0C32AFEF968}"/>
    <cellStyle name="QIS5Empty 4" xfId="2095" xr:uid="{D3D24BC5-E979-4408-ABD1-52FE375685F5}"/>
    <cellStyle name="QIS5Empty 5" xfId="2096" xr:uid="{70AD93E8-5C7A-4BD1-A28B-1EFD35D98217}"/>
    <cellStyle name="QIS5Empty 6" xfId="2097" xr:uid="{DBC1A822-6C7B-4FEE-9E9E-14E01ACCCE6D}"/>
    <cellStyle name="QIS5Empty 7" xfId="2098" xr:uid="{A2F404BE-951D-49C4-B75B-19A910D9E543}"/>
    <cellStyle name="QIS5Empty 8" xfId="2099" xr:uid="{4A33306A-754F-4E0E-B032-8DB2A983A8FB}"/>
    <cellStyle name="QIS5Empty 9" xfId="2100" xr:uid="{431146EF-B22F-487A-9766-1BC2D596E957}"/>
    <cellStyle name="QIS5EmptyCell" xfId="2101" xr:uid="{9B2EEA90-5459-4C78-A6D1-0E5145592A37}"/>
    <cellStyle name="QIS5Fix" xfId="2102" xr:uid="{D60034BD-FA55-4545-BACD-C54DCC6CB623}"/>
    <cellStyle name="QIS5Header" xfId="2103" xr:uid="{A39BA3AA-40D8-4207-8A78-AABA91773640}"/>
    <cellStyle name="QIS5Header 10" xfId="2104" xr:uid="{7DC82512-7E2D-46BB-BCA5-9C482371126F}"/>
    <cellStyle name="QIS5Header 11" xfId="2105" xr:uid="{907046C7-34D8-4B05-B8A0-3E23FB5E0DBC}"/>
    <cellStyle name="QIS5Header 12" xfId="2106" xr:uid="{2C658342-88E9-41CA-B6A0-52B6323951B2}"/>
    <cellStyle name="QIS5Header 13" xfId="2107" xr:uid="{200BA2F8-B544-4339-9D34-FC0C27EF7784}"/>
    <cellStyle name="QIS5Header 14" xfId="2108" xr:uid="{81AE4BFE-FFB9-476E-A189-075C2163C28F}"/>
    <cellStyle name="QIS5Header 15" xfId="2109" xr:uid="{ACFBBF40-FDB3-4046-AB73-72537430A11A}"/>
    <cellStyle name="QIS5Header 16" xfId="2110" xr:uid="{5ADFE91D-9E8E-4F72-8A0F-EC3807314692}"/>
    <cellStyle name="QIS5Header 17" xfId="2111" xr:uid="{E90386C1-ADCA-46D3-84CF-6E7D93EF43C5}"/>
    <cellStyle name="QIS5Header 18" xfId="2112" xr:uid="{10EEAE74-BB19-41F8-943A-6117D70BFA8C}"/>
    <cellStyle name="QIS5Header 19" xfId="2113" xr:uid="{70BBC3D8-765B-4762-8244-FF792F574CA1}"/>
    <cellStyle name="QIS5Header 2" xfId="2114" xr:uid="{AF3EDC29-936C-4DAE-A44D-3803A7598E0D}"/>
    <cellStyle name="QIS5Header 20" xfId="2115" xr:uid="{C0226AE2-40F0-4A7C-8B75-2F23983EA59E}"/>
    <cellStyle name="QIS5Header 21" xfId="2116" xr:uid="{B7D2319C-0C1A-40D9-BE95-B354C51FD9C7}"/>
    <cellStyle name="QIS5Header 22" xfId="2117" xr:uid="{12230E23-FB97-469C-B3B2-78917C42E886}"/>
    <cellStyle name="QIS5Header 23" xfId="2118" xr:uid="{DA303709-D549-4C36-9012-76621F61BD4B}"/>
    <cellStyle name="QIS5Header 24" xfId="2119" xr:uid="{738B9AA3-9FE9-4F96-A58C-046134ABA62A}"/>
    <cellStyle name="QIS5Header 25" xfId="2120" xr:uid="{4D1DDBEB-8A95-4439-A885-E1EC91D75D0E}"/>
    <cellStyle name="QIS5Header 26" xfId="2121" xr:uid="{EA0E2D6F-5D83-494D-BCC6-474C9FB92D94}"/>
    <cellStyle name="QIS5Header 27" xfId="2122" xr:uid="{DE64AFCF-599E-4323-A715-10CF5A9A431F}"/>
    <cellStyle name="QIS5Header 28" xfId="2123" xr:uid="{0E41B581-2D36-4A64-813D-8827F9D33737}"/>
    <cellStyle name="QIS5Header 29" xfId="2124" xr:uid="{8B47216C-5F8D-47DA-B45B-107506E66B15}"/>
    <cellStyle name="QIS5Header 3" xfId="2125" xr:uid="{4BEB7FD0-1915-49D8-8E38-4EB12BAA80CD}"/>
    <cellStyle name="QIS5Header 30" xfId="2126" xr:uid="{8E895DAE-A546-40AE-975E-A4A5356AECE4}"/>
    <cellStyle name="QIS5Header 31" xfId="2127" xr:uid="{0088BB5B-A01D-428C-A12C-D2B54C7C548D}"/>
    <cellStyle name="QIS5Header 4" xfId="2128" xr:uid="{B081FCCE-D53F-43D8-AA5D-3F822F3845A7}"/>
    <cellStyle name="QIS5Header 5" xfId="2129" xr:uid="{1EECD25A-D5E9-4106-8787-48EC5B8E8013}"/>
    <cellStyle name="QIS5Header 6" xfId="2130" xr:uid="{CA4ED84A-DEB5-4655-B4AB-5B3271053D2A}"/>
    <cellStyle name="QIS5Header 7" xfId="2131" xr:uid="{56EFEBC3-AFC2-40AA-B309-2ED3F6197D99}"/>
    <cellStyle name="QIS5Header 8" xfId="2132" xr:uid="{6BB14175-B822-4B7E-8D97-964F35E876E4}"/>
    <cellStyle name="QIS5Header 9" xfId="2133" xr:uid="{FF32BFDB-FE1B-4B6B-91C2-8D303641B993}"/>
    <cellStyle name="QIS5InputCell" xfId="2134" xr:uid="{E7501D15-8EE1-4BCB-B154-EE5E6800002F}"/>
    <cellStyle name="QIS5InputCell 2" xfId="2135" xr:uid="{2BD14076-5C0E-4ABD-89EF-718B27BC6713}"/>
    <cellStyle name="QIS5Label" xfId="65" xr:uid="{DCF6ED69-7B78-4AC4-AFD9-75C36B3882AB}"/>
    <cellStyle name="QIS5Label 10" xfId="2136" xr:uid="{94BFB07E-8F68-463A-BFAE-3C044B9A3BC8}"/>
    <cellStyle name="QIS5Label 10 2" xfId="2137" xr:uid="{6199F08F-7A65-41DC-8325-9B64015BC3CB}"/>
    <cellStyle name="QIS5Label 10 3" xfId="2138" xr:uid="{E26AC89E-7D9E-4E22-A192-26B7D93F9E37}"/>
    <cellStyle name="QIS5Label 11" xfId="2139" xr:uid="{4B979894-B21D-417D-BE3B-D08153BB7E94}"/>
    <cellStyle name="QIS5Label 11 2" xfId="2140" xr:uid="{CFEE9079-E751-4D48-B1C6-793D2E6B7103}"/>
    <cellStyle name="QIS5Label 11 3" xfId="2141" xr:uid="{23CC4C5F-839F-48F7-B3EA-236BEAC28301}"/>
    <cellStyle name="QIS5Label 12" xfId="2142" xr:uid="{282BCCED-8A7C-4AD8-8A90-CA4CB779EC1D}"/>
    <cellStyle name="QIS5Label 12 2" xfId="2143" xr:uid="{D8150F36-D3C4-4D67-AB45-797A9B216767}"/>
    <cellStyle name="QIS5Label 12 3" xfId="2144" xr:uid="{950847FD-5E1B-48EE-B460-99426DD1226D}"/>
    <cellStyle name="QIS5Label 13" xfId="2145" xr:uid="{506143CA-BCA7-4084-9E4B-24446219FCDD}"/>
    <cellStyle name="QIS5Label 13 2" xfId="2146" xr:uid="{220A3322-75E9-4FD7-93B1-FAF2B7D7B9A3}"/>
    <cellStyle name="QIS5Label 13 3" xfId="2147" xr:uid="{A880DAE1-BFF6-4DD0-89AA-E0385FE2668F}"/>
    <cellStyle name="QIS5Label 14" xfId="2148" xr:uid="{DDDADDEC-5419-4A1A-9267-F90B78D7684C}"/>
    <cellStyle name="QIS5Label 14 2" xfId="2149" xr:uid="{DE737F25-3386-4F42-B803-921DB300C695}"/>
    <cellStyle name="QIS5Label 14 3" xfId="2150" xr:uid="{05EE9439-10D6-4B84-9AFC-315EB35007F3}"/>
    <cellStyle name="QIS5Label 15" xfId="2151" xr:uid="{86D93868-A681-49BD-A4FA-3072BF894D5C}"/>
    <cellStyle name="QIS5Label 15 2" xfId="2152" xr:uid="{139FB3B1-77C6-4A14-A16A-2B54BF2B640C}"/>
    <cellStyle name="QIS5Label 15 3" xfId="2153" xr:uid="{917FA937-56C6-4200-9206-059B6315C0C5}"/>
    <cellStyle name="QIS5Label 16" xfId="2154" xr:uid="{ABCF5D68-D821-4206-858E-03126AD84E59}"/>
    <cellStyle name="QIS5Label 16 2" xfId="2155" xr:uid="{7384F2D6-4591-424A-93FA-559F77F9F007}"/>
    <cellStyle name="QIS5Label 16 3" xfId="2156" xr:uid="{373B1580-7B8D-488E-B260-FDD896E2FF66}"/>
    <cellStyle name="QIS5Label 17" xfId="2157" xr:uid="{D7DAF27B-2332-4559-AB9D-98E2AD7E6A66}"/>
    <cellStyle name="QIS5Label 17 2" xfId="2158" xr:uid="{8D457AC0-CB58-46E5-BE31-5E6B4D6CBDB0}"/>
    <cellStyle name="QIS5Label 17 3" xfId="2159" xr:uid="{A87E04D9-AFC0-4908-B5FB-7863BAA77553}"/>
    <cellStyle name="QIS5Label 18" xfId="2160" xr:uid="{DC182E66-E292-480F-8734-4147BDA8DE58}"/>
    <cellStyle name="QIS5Label 18 2" xfId="2161" xr:uid="{6DE48527-10D1-4CFF-B451-1BCE08B11AB1}"/>
    <cellStyle name="QIS5Label 18 3" xfId="2162" xr:uid="{8B10B94A-D211-4FBF-9784-622D275631AA}"/>
    <cellStyle name="QIS5Label 19" xfId="2163" xr:uid="{5EF162CC-03BF-4C5F-9FA1-AEAA539A456D}"/>
    <cellStyle name="QIS5Label 19 2" xfId="2164" xr:uid="{C063B2D0-F679-417B-966F-144C49469CEF}"/>
    <cellStyle name="QIS5Label 19 3" xfId="2165" xr:uid="{128FE741-77C0-46FE-98C1-C782B6807ECD}"/>
    <cellStyle name="QIS5Label 2" xfId="2166" xr:uid="{B59D2437-51D5-4E22-8127-BA558D5BFACB}"/>
    <cellStyle name="QIS5Label 2 2" xfId="2167" xr:uid="{15E14BCC-BFE6-4E6F-9E14-F65C3346296C}"/>
    <cellStyle name="QIS5Label 2 3" xfId="2168" xr:uid="{66F36C16-25DC-4227-A9BF-34DEDB2FFEFB}"/>
    <cellStyle name="QIS5Label 20" xfId="2169" xr:uid="{E73AC800-22B5-4F1C-8B22-9498EC4ACE71}"/>
    <cellStyle name="QIS5Label 20 2" xfId="2170" xr:uid="{F7950D6C-643A-4559-91DE-B76DBF97A43D}"/>
    <cellStyle name="QIS5Label 20 3" xfId="2171" xr:uid="{CAF5135F-4D5A-49A9-BA8C-1077F8D6273C}"/>
    <cellStyle name="QIS5Label 21" xfId="2172" xr:uid="{32BF4042-9AC9-4564-BDFD-DE0EE26B3277}"/>
    <cellStyle name="QIS5Label 21 2" xfId="2173" xr:uid="{5B3801F7-5FAD-427E-9214-18EC5D3A9A62}"/>
    <cellStyle name="QIS5Label 21 3" xfId="2174" xr:uid="{4A698457-E867-4083-838A-9147BB6946C7}"/>
    <cellStyle name="QIS5Label 22" xfId="2175" xr:uid="{77C81BE1-508C-42EB-9054-6E7519A23574}"/>
    <cellStyle name="QIS5Label 22 2" xfId="2176" xr:uid="{A1FFC55E-43B4-4152-8537-F3D0F8045D8D}"/>
    <cellStyle name="QIS5Label 22 3" xfId="2177" xr:uid="{6025F2A8-962A-484A-A460-1AF01EC5A843}"/>
    <cellStyle name="QIS5Label 23" xfId="2178" xr:uid="{46C384F4-E056-4B90-8F86-CCE0A9CA2450}"/>
    <cellStyle name="QIS5Label 23 2" xfId="2179" xr:uid="{59CE2959-AF36-40BD-8159-70F370663929}"/>
    <cellStyle name="QIS5Label 23 3" xfId="2180" xr:uid="{24ECD1B7-3221-40AB-AD27-902A87D65C8A}"/>
    <cellStyle name="QIS5Label 24" xfId="2181" xr:uid="{C19D1D08-82F5-4061-9AFC-98B3346CD71F}"/>
    <cellStyle name="QIS5Label 24 2" xfId="2182" xr:uid="{C71522A6-2C0B-4852-B293-03DC579C6120}"/>
    <cellStyle name="QIS5Label 24 3" xfId="2183" xr:uid="{24F19BBA-38D5-47F9-95F4-B797037807DB}"/>
    <cellStyle name="QIS5Label 25" xfId="2184" xr:uid="{5A8C3E49-67F0-4B73-A9DA-FFB638FA02BE}"/>
    <cellStyle name="QIS5Label 25 2" xfId="2185" xr:uid="{A4AE84CB-FE1C-44DE-93C8-1E3B24C61D16}"/>
    <cellStyle name="QIS5Label 25 3" xfId="2186" xr:uid="{DD32BF96-E5BF-4EC0-8805-909C05CB6698}"/>
    <cellStyle name="QIS5Label 26" xfId="2187" xr:uid="{E2A110B6-96B2-4BAF-ABD7-492ACE75A9DB}"/>
    <cellStyle name="QIS5Label 26 2" xfId="2188" xr:uid="{D9A74333-D7B3-47DC-A2FF-EA1A17709054}"/>
    <cellStyle name="QIS5Label 26 3" xfId="2189" xr:uid="{E09973F4-073A-40A0-8A37-7919FA4066E4}"/>
    <cellStyle name="QIS5Label 27" xfId="2190" xr:uid="{F3EF092A-D3B1-49B5-A2C3-8EFC83ADB4CA}"/>
    <cellStyle name="QIS5Label 27 2" xfId="2191" xr:uid="{519623FB-2BC5-4B3C-9DE3-1AE9D95C1A96}"/>
    <cellStyle name="QIS5Label 27 3" xfId="2192" xr:uid="{3585F34D-9253-43AC-8262-DD1D83CBE436}"/>
    <cellStyle name="QIS5Label 28" xfId="2193" xr:uid="{69522DF3-9F09-4C23-9FA9-FAB1BF505463}"/>
    <cellStyle name="QIS5Label 28 2" xfId="2194" xr:uid="{84F1537B-0783-4C1E-B936-15FE4B50F3B8}"/>
    <cellStyle name="QIS5Label 28 3" xfId="2195" xr:uid="{49281267-44BD-4703-AC95-E8C3485BAD94}"/>
    <cellStyle name="QIS5Label 29" xfId="2196" xr:uid="{C9EE4630-1164-4C30-9823-1334C5097BC3}"/>
    <cellStyle name="QIS5Label 29 2" xfId="2197" xr:uid="{770ABEBC-72A1-4E4C-AF52-62057EA1C81F}"/>
    <cellStyle name="QIS5Label 29 3" xfId="2198" xr:uid="{A7DCDD89-2562-4A8D-9A19-49E03D64C59B}"/>
    <cellStyle name="QIS5Label 3" xfId="2199" xr:uid="{3FF0C43A-5B92-42C4-BF63-A4CDAC050465}"/>
    <cellStyle name="QIS5Label 3 2" xfId="2200" xr:uid="{2E72EE72-AE50-4923-8910-312C808BCE2D}"/>
    <cellStyle name="QIS5Label 3 3" xfId="2201" xr:uid="{021EBDBD-8899-49C8-A9BE-5DB510D655B3}"/>
    <cellStyle name="QIS5Label 4" xfId="2202" xr:uid="{FE9F6566-EC80-479D-A6FD-AFBEA158495E}"/>
    <cellStyle name="QIS5Label 4 2" xfId="2203" xr:uid="{F2547B6A-E031-4641-9846-A4F6612ACF66}"/>
    <cellStyle name="QIS5Label 4 3" xfId="2204" xr:uid="{9BF125A7-85DA-44F8-930A-E1D33E4A8BED}"/>
    <cellStyle name="QIS5Label 5" xfId="2205" xr:uid="{B030C2A0-4769-46C5-8691-C4A58BB9A4C9}"/>
    <cellStyle name="QIS5Label 5 2" xfId="2206" xr:uid="{DD67FC8B-916F-4084-8F01-A8F893CDAE18}"/>
    <cellStyle name="QIS5Label 5 3" xfId="2207" xr:uid="{98399466-83A9-45AD-BA07-20F00BE4FBF8}"/>
    <cellStyle name="QIS5Label 6" xfId="2208" xr:uid="{929DDDAB-AC50-478D-8066-3A75F5D4A718}"/>
    <cellStyle name="QIS5Label 6 2" xfId="2209" xr:uid="{417186AD-4659-4A76-8037-42EA1636C7CF}"/>
    <cellStyle name="QIS5Label 6 3" xfId="2210" xr:uid="{B7A64B13-AE8F-46BD-A442-580E52EE4178}"/>
    <cellStyle name="QIS5Label 7" xfId="2211" xr:uid="{DB768B2A-A601-45E0-80C6-4C28BFCC5618}"/>
    <cellStyle name="QIS5Label 7 2" xfId="2212" xr:uid="{E36BBC11-6316-4964-986A-0BD3712AF351}"/>
    <cellStyle name="QIS5Label 7 3" xfId="2213" xr:uid="{AEC741F1-B1FF-46B2-A0A0-C4D519CBCF3E}"/>
    <cellStyle name="QIS5Label 8" xfId="2214" xr:uid="{23D43E2C-B92B-487B-B255-1C7B7DFDE321}"/>
    <cellStyle name="QIS5Label 8 2" xfId="2215" xr:uid="{B6FF1083-2CBB-46E9-97AE-6A7C29E319C6}"/>
    <cellStyle name="QIS5Label 8 3" xfId="2216" xr:uid="{EC4503AA-5336-42E5-B72E-0AE7D6754A9A}"/>
    <cellStyle name="QIS5Label 9" xfId="2217" xr:uid="{C76069FC-DF08-4042-A4CA-6CDF6D6F9B3C}"/>
    <cellStyle name="QIS5Label 9 2" xfId="2218" xr:uid="{C10637D9-8E38-49E2-88CD-5EAB2E057F1F}"/>
    <cellStyle name="QIS5Label 9 3" xfId="2219" xr:uid="{2837D04A-23B0-4C56-A0B4-18EE7A043DD7}"/>
    <cellStyle name="QIS5Locked" xfId="2220" xr:uid="{A1A47159-5ED9-4BFD-B5D1-62726950F5E3}"/>
    <cellStyle name="QIS5Output" xfId="2221" xr:uid="{031A2F2B-74A6-47F5-A5FA-7E53E796D19A}"/>
    <cellStyle name="QIS5Param" xfId="2222" xr:uid="{0B8F62BA-7043-4614-A02C-F3D102B6487E}"/>
    <cellStyle name="QIS5SheetHeader" xfId="2223" xr:uid="{68DD7FCA-7862-478A-8A98-CC8366FE1B1B}"/>
    <cellStyle name="QIS5SheetHeader 2" xfId="2224" xr:uid="{F411E7B1-A9D1-4262-BBE4-38B0DAE11A84}"/>
    <cellStyle name="QIS5SheetHeader 2 2" xfId="2746" xr:uid="{DAF866C3-086F-4934-9AEA-3268B94E0FA5}"/>
    <cellStyle name="QIS5SheetHeader 2 3" xfId="2779" xr:uid="{B908DBA2-DFE7-4917-918E-743E338C392D}"/>
    <cellStyle name="QIS5SheetHeader 2 4" xfId="2811" xr:uid="{B29C74FB-BF96-4923-9DE4-56FAC325FF19}"/>
    <cellStyle name="QIS5SheetHeader 3" xfId="2745" xr:uid="{3D2A0C80-35F5-49BA-B96E-73F572F8A2CD}"/>
    <cellStyle name="QIS5SheetHeader 4" xfId="2425" xr:uid="{75BA68CE-103C-4F7A-B09D-4855FCB4DC23}"/>
    <cellStyle name="QIS5SheetHeader 5" xfId="2775" xr:uid="{D5BB7883-6266-4000-89C9-2A385F2D5653}"/>
    <cellStyle name="QIS5XLink" xfId="2225" xr:uid="{C54CEAB6-BF89-4BE2-B127-CF1FDA1F83F2}"/>
    <cellStyle name="QRTs" xfId="2226" xr:uid="{10362C79-B38A-44D9-92C9-64CC9FF84A21}"/>
    <cellStyle name="RedBold" xfId="2227" xr:uid="{561972BD-EB7B-4562-AF98-1AEC00F228BB}"/>
    <cellStyle name="RedItalic" xfId="2228" xr:uid="{3AA15326-5AA9-4B04-B095-197FFDAB2319}"/>
    <cellStyle name="Reset range style to defaults" xfId="2229" xr:uid="{764FA32C-4D53-4BE1-8D39-E6174AE7358F}"/>
    <cellStyle name="SAQIS2_InputHeader" xfId="2230" xr:uid="{20591395-D730-4A73-8A96-655A861CA49F}"/>
    <cellStyle name="Satisfaisant" xfId="2231" xr:uid="{1D4B3FE0-2D72-44FB-BD08-348B4531DAAC}"/>
    <cellStyle name="Schlecht" xfId="2232" xr:uid="{C6211DF5-E4E5-40B3-9478-FAC398B5B0E7}"/>
    <cellStyle name="Selittävä teksti" xfId="2233" xr:uid="{B09D13F9-8F37-464A-9EFB-F5851AE5B29D}"/>
    <cellStyle name="Sortie" xfId="2234" xr:uid="{AF046CB0-ABA2-4464-AD3B-25F41218C6CB}"/>
    <cellStyle name="Sortie 2" xfId="2747" xr:uid="{0AFF5432-0449-472C-ABAB-63E3FC861344}"/>
    <cellStyle name="Sortie 3" xfId="2780" xr:uid="{3FA17900-9374-4ADF-AEF4-DD7331AA25C9}"/>
    <cellStyle name="Standard_31.01.96" xfId="2235" xr:uid="{2DF45F37-01F8-4603-B2F3-6E904433E331}"/>
    <cellStyle name="Style 1" xfId="2236" xr:uid="{93983A82-0FC7-46B7-BD64-A3B80736E876}"/>
    <cellStyle name="Style 1 10" xfId="2237" xr:uid="{F1469FDF-0B9E-426D-A663-37CBE4BD42CF}"/>
    <cellStyle name="Style 1 10 2" xfId="2238" xr:uid="{B530E172-9BD5-4511-A92E-FED872DDD565}"/>
    <cellStyle name="Style 1 10 3" xfId="2239" xr:uid="{B9F3FCB4-27EE-41EB-B7EE-B2B7D4872B4F}"/>
    <cellStyle name="Style 1 11" xfId="2240" xr:uid="{9E60B6AA-F6E1-49BB-865A-1B5453DDCD4C}"/>
    <cellStyle name="Style 1 11 2" xfId="2241" xr:uid="{5E5162EF-5CD7-4D41-9992-47C8BC521D0F}"/>
    <cellStyle name="Style 1 11 3" xfId="2242" xr:uid="{FCA970D6-DC31-4FB0-8A73-34D596F2B783}"/>
    <cellStyle name="Style 1 12" xfId="2243" xr:uid="{8D420946-0087-4934-8B76-54A8BBC2DFA2}"/>
    <cellStyle name="Style 1 12 2" xfId="2244" xr:uid="{272A3CD7-098F-4DC1-A40A-FD8A773079B1}"/>
    <cellStyle name="Style 1 12 3" xfId="2245" xr:uid="{23F19D8C-56E2-4FE8-BCF4-46F4314556BF}"/>
    <cellStyle name="Style 1 13" xfId="2246" xr:uid="{90C46696-757E-4B7F-851D-C34DE4EA19DB}"/>
    <cellStyle name="Style 1 13 2" xfId="2247" xr:uid="{47F2CCF5-8BBE-4944-822A-B41421EAB196}"/>
    <cellStyle name="Style 1 13 3" xfId="2248" xr:uid="{62BE285E-C446-44B2-BC17-259F8615BD18}"/>
    <cellStyle name="Style 1 14" xfId="2249" xr:uid="{6C3A52D6-CCD8-46EB-BA2A-0E9C97D7BFD8}"/>
    <cellStyle name="Style 1 14 2" xfId="2250" xr:uid="{600CDEAD-A914-4F1C-980B-DD2FBBBA8A30}"/>
    <cellStyle name="Style 1 14 3" xfId="2251" xr:uid="{48978E12-3037-4B10-993B-373BEA95E6AC}"/>
    <cellStyle name="Style 1 15" xfId="2252" xr:uid="{37E83E30-3438-4679-82A6-B1413DB8830A}"/>
    <cellStyle name="Style 1 15 2" xfId="2253" xr:uid="{E265693F-2613-4A7A-92B6-C6C5006E4290}"/>
    <cellStyle name="Style 1 15 3" xfId="2254" xr:uid="{F5D89A70-45B5-40E8-AFBA-1D0015D69F13}"/>
    <cellStyle name="Style 1 16" xfId="2255" xr:uid="{A8F2277C-F11B-4E40-95C5-1391BEDE271C}"/>
    <cellStyle name="Style 1 16 2" xfId="2256" xr:uid="{691C73B7-D4BA-4013-B543-462A6A64B9EB}"/>
    <cellStyle name="Style 1 16 3" xfId="2257" xr:uid="{90ACD3BE-626D-44F5-9EB2-BAB0BE61220B}"/>
    <cellStyle name="Style 1 17" xfId="2258" xr:uid="{2B14138F-1E15-46C2-8EF3-29F833736FC6}"/>
    <cellStyle name="Style 1 17 2" xfId="2259" xr:uid="{952AFD37-C975-4801-A2A6-FEAD41ECD1F1}"/>
    <cellStyle name="Style 1 17 3" xfId="2260" xr:uid="{03BDB79F-D556-4A47-9575-1760FF593B9B}"/>
    <cellStyle name="Style 1 18" xfId="2261" xr:uid="{AFEFC7B7-A1BA-48B4-B412-15E8E41F5718}"/>
    <cellStyle name="Style 1 18 2" xfId="2262" xr:uid="{E2D403B2-2AE8-4BB3-A009-D3A815A4DB81}"/>
    <cellStyle name="Style 1 18 3" xfId="2263" xr:uid="{B0587B0F-1F00-4EEB-ADF6-F4E4927B30E9}"/>
    <cellStyle name="Style 1 19" xfId="2264" xr:uid="{0B1A7252-20C1-4138-BB26-E19309D9BE41}"/>
    <cellStyle name="Style 1 19 2" xfId="2265" xr:uid="{59BEACA9-B55F-41FB-A2EB-9C42CB291721}"/>
    <cellStyle name="Style 1 19 3" xfId="2266" xr:uid="{C6B95A06-3EDD-46BA-B95D-F4FB31F2E122}"/>
    <cellStyle name="Style 1 2" xfId="2267" xr:uid="{C1AB4293-CED1-4A9F-9D97-CBCEB6FAAC98}"/>
    <cellStyle name="Style 1 2 2" xfId="2268" xr:uid="{2AE6B85E-5E75-4AE1-B562-93ABC8E69C8B}"/>
    <cellStyle name="Style 1 2 3" xfId="2269" xr:uid="{24EA681F-79F5-4CFB-BBB7-737EC8C9C189}"/>
    <cellStyle name="Style 1 20" xfId="2270" xr:uid="{28AE7125-F365-4BFE-B3BC-1261E6731990}"/>
    <cellStyle name="Style 1 20 2" xfId="2271" xr:uid="{76B6D6C8-9FA2-4F5C-BB04-051511E0D197}"/>
    <cellStyle name="Style 1 20 3" xfId="2272" xr:uid="{FA6E4F34-5FE3-45FD-8C89-1AB7FCCD127A}"/>
    <cellStyle name="Style 1 21" xfId="2273" xr:uid="{9CFA1309-DC69-4445-8D08-3F2163DC391F}"/>
    <cellStyle name="Style 1 21 2" xfId="2274" xr:uid="{D5BD6BC1-AFAE-4CF1-A761-D6E16DF6693A}"/>
    <cellStyle name="Style 1 21 3" xfId="2275" xr:uid="{B5969B07-E071-4100-86B6-50FA10C20574}"/>
    <cellStyle name="Style 1 22" xfId="2276" xr:uid="{8843984A-68C1-4356-A6BC-8A0D6411AFAD}"/>
    <cellStyle name="Style 1 22 2" xfId="2277" xr:uid="{7B99B27A-DA59-4CCC-9C3A-3DF81C888483}"/>
    <cellStyle name="Style 1 22 3" xfId="2278" xr:uid="{9073DC61-0B66-40AF-A2DB-9B9EB22DECB3}"/>
    <cellStyle name="Style 1 23" xfId="2279" xr:uid="{A6D4449A-6C3D-4813-BE8E-FB696B60FE1D}"/>
    <cellStyle name="Style 1 23 2" xfId="2280" xr:uid="{7A1713B5-C214-4BE5-8446-70900BA3E5E8}"/>
    <cellStyle name="Style 1 23 3" xfId="2281" xr:uid="{34EF7DC9-9EBB-4452-9F45-97CE72612092}"/>
    <cellStyle name="Style 1 24" xfId="2282" xr:uid="{1945B832-EB2A-45FF-8ADD-9D7C6C5E49E3}"/>
    <cellStyle name="Style 1 24 2" xfId="2283" xr:uid="{F4BEA31F-D5A4-4BBD-8D5B-67022FF780FF}"/>
    <cellStyle name="Style 1 24 3" xfId="2284" xr:uid="{E2597F06-CA84-45B5-99C4-9D91A6DECA99}"/>
    <cellStyle name="Style 1 25" xfId="2285" xr:uid="{F3D1EC30-E765-4A45-A2CD-19426366774F}"/>
    <cellStyle name="Style 1 25 2" xfId="2286" xr:uid="{69659ED8-4E40-4991-9B7C-AE7CBCB61597}"/>
    <cellStyle name="Style 1 25 3" xfId="2287" xr:uid="{3A7FE884-98E6-4B8D-B162-E73EE2089ACD}"/>
    <cellStyle name="Style 1 26" xfId="2288" xr:uid="{27512BDA-AC95-46B1-8471-BA1041E6F569}"/>
    <cellStyle name="Style 1 26 2" xfId="2289" xr:uid="{3FDBD217-7209-45F3-AFD0-9A05D0D8A931}"/>
    <cellStyle name="Style 1 26 3" xfId="2290" xr:uid="{DEBB502B-5293-46FC-B8AE-2951DFF768CE}"/>
    <cellStyle name="Style 1 27" xfId="2291" xr:uid="{6BBAF14D-48E3-4FC3-A8C2-FF7CBC6FA84E}"/>
    <cellStyle name="Style 1 27 2" xfId="2292" xr:uid="{86A0D924-FE5E-4CCC-93D1-296216974603}"/>
    <cellStyle name="Style 1 27 3" xfId="2293" xr:uid="{7EE93C3A-CFF9-49E7-ADD0-C8301676D279}"/>
    <cellStyle name="Style 1 28" xfId="2294" xr:uid="{AD40B342-4185-4788-AD3C-1E6390946131}"/>
    <cellStyle name="Style 1 28 2" xfId="2295" xr:uid="{C5CF658E-B76F-45DE-91CD-8634E9A29E43}"/>
    <cellStyle name="Style 1 28 3" xfId="2296" xr:uid="{3BF9B115-9439-477B-914F-88668083C8E3}"/>
    <cellStyle name="Style 1 29" xfId="2297" xr:uid="{90355572-BF53-4D1D-853F-11B4ED5E5A61}"/>
    <cellStyle name="Style 1 29 2" xfId="2298" xr:uid="{03FA28A5-2C4B-40F0-92C2-4EDF98421927}"/>
    <cellStyle name="Style 1 29 3" xfId="2299" xr:uid="{A084731E-9AD7-490F-90F8-51B702A07329}"/>
    <cellStyle name="Style 1 3" xfId="2300" xr:uid="{BC093F6A-BEDC-4E66-AB18-F52D40262841}"/>
    <cellStyle name="Style 1 3 2" xfId="2301" xr:uid="{B964FAA8-4006-4F44-B963-C06E2BA2C62C}"/>
    <cellStyle name="Style 1 3 3" xfId="2302" xr:uid="{08317AE4-014A-49CF-9535-74388CB763C3}"/>
    <cellStyle name="Style 1 4" xfId="2303" xr:uid="{8BE6BA18-A75A-40E2-B87C-5C6F9A30C2C0}"/>
    <cellStyle name="Style 1 4 2" xfId="2304" xr:uid="{330A9D71-6655-437E-A103-20DB4232D10D}"/>
    <cellStyle name="Style 1 4 3" xfId="2305" xr:uid="{CA573436-7FFD-4F65-A9BE-0F2312B27A8E}"/>
    <cellStyle name="Style 1 5" xfId="2306" xr:uid="{2CB5417A-6DD0-41C3-8039-332F65D32940}"/>
    <cellStyle name="Style 1 5 2" xfId="2307" xr:uid="{61D16235-D2B4-4DEF-AD3C-B7499208E21A}"/>
    <cellStyle name="Style 1 5 3" xfId="2308" xr:uid="{E6B9AD9B-6870-46D7-B2D9-82C62C4A189E}"/>
    <cellStyle name="Style 1 6" xfId="2309" xr:uid="{9C3412C3-9C10-4493-99F5-4A693126792F}"/>
    <cellStyle name="Style 1 6 2" xfId="2310" xr:uid="{C8792BB6-D647-47F8-BD86-6936D6ADD22C}"/>
    <cellStyle name="Style 1 6 3" xfId="2311" xr:uid="{98823654-5297-43D6-A992-78C64F77F70A}"/>
    <cellStyle name="Style 1 7" xfId="2312" xr:uid="{0AFBFA53-EF9C-4511-A679-47CADDA2C516}"/>
    <cellStyle name="Style 1 7 2" xfId="2313" xr:uid="{0FD0FFD0-8E41-4FC2-892C-7EF2C1461A8E}"/>
    <cellStyle name="Style 1 7 3" xfId="2314" xr:uid="{11D6B7DF-A4DB-4AA3-A93C-ACF5084E432D}"/>
    <cellStyle name="Style 1 8" xfId="2315" xr:uid="{9B9AE0E7-3E80-407B-BCF9-3BD5216F0093}"/>
    <cellStyle name="Style 1 8 2" xfId="2316" xr:uid="{7ABC1DB2-86A7-4C65-A6EB-45F6E9DFC1E0}"/>
    <cellStyle name="Style 1 8 3" xfId="2317" xr:uid="{4F72B088-9E9F-4477-B38B-BE5ACB890B8A}"/>
    <cellStyle name="Style 1 9" xfId="2318" xr:uid="{0E24CE82-D447-4DCA-9EE4-EE403937BCF2}"/>
    <cellStyle name="Style 1 9 2" xfId="2319" xr:uid="{0F721FFB-A275-4B6D-BA6D-6E1930AF8A05}"/>
    <cellStyle name="Style 1 9 3" xfId="2320" xr:uid="{86FF4C81-FD7D-4840-9557-A9E513AF3DC3}"/>
    <cellStyle name="Sum" xfId="2321" xr:uid="{37A2DDAB-5B90-464D-BC6A-0F55082CBFDF}"/>
    <cellStyle name="Sum %of HV" xfId="2322" xr:uid="{C8EBD026-A708-4AAF-AA1B-4CD2B020B7AB}"/>
    <cellStyle name="Sum %of HV 2" xfId="2323" xr:uid="{8E45630F-E7CE-463F-B909-86B1A7F78987}"/>
    <cellStyle name="Sum %of HV 3" xfId="2324" xr:uid="{92E18A15-14CA-4446-A550-1CD620EFE5CE}"/>
    <cellStyle name="Summa" xfId="2325" xr:uid="{F0413B21-795B-4C68-BA82-C637D9F4186E}"/>
    <cellStyle name="Summa 2" xfId="2748" xr:uid="{4163F6CE-CC94-4F9A-ABEE-7B10BA400D72}"/>
    <cellStyle name="Summa 3" xfId="2781" xr:uid="{978C9272-0A30-4F30-8A31-635ADCDF4ECD}"/>
    <cellStyle name="Syöttö" xfId="2326" xr:uid="{43AB2792-DFAF-4275-B660-ED2AE313B271}"/>
    <cellStyle name="Syöttö 2" xfId="2749" xr:uid="{7473300E-6070-4915-9E83-16B7A73BC146}"/>
    <cellStyle name="Syöttö 3" xfId="2782" xr:uid="{D888AC5A-C09F-4B7F-BC34-8397D9707EFA}"/>
    <cellStyle name="Tarkistussolu" xfId="2327" xr:uid="{4373AEDD-47B5-41D9-995D-B184A38F647F}"/>
    <cellStyle name="Testo avviso" xfId="2328" xr:uid="{FF4C9EC5-169E-4661-91E2-CF9DC0D4F33B}"/>
    <cellStyle name="Testo descrittivo" xfId="2329" xr:uid="{09ADC59A-C9BE-4F59-A9E8-CCDFF6B126C7}"/>
    <cellStyle name="Texte explicatif" xfId="2330" xr:uid="{B5315D08-E858-4740-AF67-6EDEDDF1EA78}"/>
    <cellStyle name="time" xfId="2331" xr:uid="{80EF636D-B990-48BA-B458-71C9FA54C333}"/>
    <cellStyle name="Title 10" xfId="2332" xr:uid="{2B07C08A-8378-4567-B8E4-52E57E6CCC90}"/>
    <cellStyle name="Title 11" xfId="2333" xr:uid="{7F2E5352-9B90-48B8-9CE0-CEF172451DEF}"/>
    <cellStyle name="Title 12" xfId="2334" xr:uid="{D92C836F-2799-40EA-8BEA-DE830905E231}"/>
    <cellStyle name="Title 13" xfId="2335" xr:uid="{490868EE-5317-424C-9F95-3B98716ECCA4}"/>
    <cellStyle name="Title 14" xfId="2336" xr:uid="{D0CC3E39-D7E3-48AB-A480-258E18DA658F}"/>
    <cellStyle name="Title 15" xfId="2337" xr:uid="{C1405E9A-567C-4362-A5FA-36332264FC4C}"/>
    <cellStyle name="Title 16" xfId="2338" xr:uid="{597566E3-68C0-4F63-A4DE-7AABE8701416}"/>
    <cellStyle name="Title 17" xfId="2339" xr:uid="{CE43817B-180D-4BF0-B052-F989C30C6F78}"/>
    <cellStyle name="Title 18" xfId="2340" xr:uid="{8CB507CD-82DA-4BD3-B0FB-E8F0D03A5C90}"/>
    <cellStyle name="Title 2" xfId="37" xr:uid="{45E3CE66-E11F-4EB4-81D6-31A00A27C210}"/>
    <cellStyle name="Title 2 2" xfId="2341" xr:uid="{3A934A8C-0E6B-4D8D-A43C-601124F0E225}"/>
    <cellStyle name="Title 3" xfId="2342" xr:uid="{349BB7B2-2D8E-4632-BB38-3F92818AFD46}"/>
    <cellStyle name="Title 4" xfId="2343" xr:uid="{6456DFCC-F350-4251-89CD-51F643061EEF}"/>
    <cellStyle name="Title 5" xfId="2344" xr:uid="{9EBA4521-7504-4B4E-9FE1-FD36C922C1C2}"/>
    <cellStyle name="Title 6" xfId="2345" xr:uid="{9DFA4C74-0CFF-4ADC-8950-1B18FA1029CA}"/>
    <cellStyle name="Title 7" xfId="2346" xr:uid="{C64C5075-E073-490D-AE2F-0A1872CFF920}"/>
    <cellStyle name="Title 8" xfId="2347" xr:uid="{3194BAE1-F99B-48CF-B59E-0FD47D0D70DD}"/>
    <cellStyle name="Title 9" xfId="2348" xr:uid="{E0AE02C1-4390-4321-BD8C-B673F7D33337}"/>
    <cellStyle name="Titolo" xfId="2349" xr:uid="{27E57388-1771-41E8-9B93-4729CD8AF99D}"/>
    <cellStyle name="Titolo 1" xfId="2350" xr:uid="{07CCAD91-A62C-4275-9FDD-8D6A53DE0174}"/>
    <cellStyle name="Titolo 2" xfId="2351" xr:uid="{D5264DD7-69F0-496E-A138-932EAC7D2053}"/>
    <cellStyle name="Titolo 3" xfId="2352" xr:uid="{B8923FDD-9231-4DA1-80C1-849B8116698F}"/>
    <cellStyle name="Titolo 4" xfId="2353" xr:uid="{3A3D21E3-E7A1-4218-85F8-ABE8B3729C99}"/>
    <cellStyle name="Titre" xfId="2354" xr:uid="{A6CFE8B1-0C6E-4B35-83E9-EF862E5CB691}"/>
    <cellStyle name="Titre 1" xfId="2355" xr:uid="{F1690C7C-A4A5-42D5-9620-902AE7F8E8BF}"/>
    <cellStyle name="Titre 2" xfId="2356" xr:uid="{E530BACD-9EBD-493B-A5B7-859754641072}"/>
    <cellStyle name="Titre 3" xfId="2357" xr:uid="{2A7128E7-8764-423C-8093-32A9AD66187F}"/>
    <cellStyle name="Titre 4" xfId="2358" xr:uid="{C58F0ADA-7AEE-4D7E-90FC-18C82E7287C3}"/>
    <cellStyle name="Titre_Kieran and graph" xfId="2359" xr:uid="{609441A6-D40C-4BEE-8514-9DCF7D298BCA}"/>
    <cellStyle name="Total" xfId="17" builtinId="25" customBuiltin="1"/>
    <cellStyle name="Total 10" xfId="2360" xr:uid="{92571D3C-9160-48BF-9322-1A10A54C85E5}"/>
    <cellStyle name="Total 10 2" xfId="2750" xr:uid="{4D5E14D5-77E3-4502-896F-7C2FAEB7599F}"/>
    <cellStyle name="Total 10 3" xfId="2783" xr:uid="{84AEE56A-A65B-4AC9-ABAA-1ECE64129A34}"/>
    <cellStyle name="Total 10 4" xfId="2812" xr:uid="{C87E79AC-4B69-4E71-BFB9-CBD3DF1E76C7}"/>
    <cellStyle name="Total 11" xfId="2361" xr:uid="{21E300E9-906A-4260-8D7C-5EDA0F95F288}"/>
    <cellStyle name="Total 11 2" xfId="2751" xr:uid="{DFC031AF-192B-405E-94B9-91F0CD6F6F59}"/>
    <cellStyle name="Total 11 3" xfId="2784" xr:uid="{D1398603-B7B4-4216-8DA5-91A4B52CC4C8}"/>
    <cellStyle name="Total 11 4" xfId="2813" xr:uid="{6330EDC0-2D3F-4876-A4E4-3BB82A5290BF}"/>
    <cellStyle name="Total 12" xfId="2362" xr:uid="{3A83CBAB-CDBA-4AD7-87E5-F4DFB3E955DE}"/>
    <cellStyle name="Total 12 2" xfId="2752" xr:uid="{81B88019-9B0B-4ECE-9F30-B78C6E19B481}"/>
    <cellStyle name="Total 12 3" xfId="2785" xr:uid="{23BE032D-A74A-4CA6-8C61-652115CE7531}"/>
    <cellStyle name="Total 12 4" xfId="2814" xr:uid="{26753EFC-48F8-44ED-A0CA-0771DD8CC7CA}"/>
    <cellStyle name="Total 13" xfId="2363" xr:uid="{47AE9BBC-237B-406C-B8A7-B79382C3E950}"/>
    <cellStyle name="Total 13 2" xfId="2753" xr:uid="{670E3F8F-B4FE-4880-9331-278CA7FD9031}"/>
    <cellStyle name="Total 13 3" xfId="2786" xr:uid="{8D491103-70FF-4942-88F7-04EE9634D071}"/>
    <cellStyle name="Total 13 4" xfId="2815" xr:uid="{9F3A7253-BD34-405C-9F28-C1BBF841B1AF}"/>
    <cellStyle name="Total 14" xfId="2364" xr:uid="{56848669-0CD0-41B6-A861-29EB85AF44A8}"/>
    <cellStyle name="Total 14 2" xfId="2754" xr:uid="{2717B492-1209-4DB6-B56F-41797C8B0F97}"/>
    <cellStyle name="Total 14 3" xfId="2787" xr:uid="{CA163F93-9ACC-4457-A3AE-2D8480F6939F}"/>
    <cellStyle name="Total 14 4" xfId="2816" xr:uid="{1616D2E9-9B80-4833-A3C2-DF1F51FB310F}"/>
    <cellStyle name="Total 15" xfId="2365" xr:uid="{C5C0EFB9-E2BB-4630-87B9-AF982A3E714C}"/>
    <cellStyle name="Total 15 2" xfId="2755" xr:uid="{7B598A73-DA9A-46AA-B34C-E69FA170E0CC}"/>
    <cellStyle name="Total 15 3" xfId="2788" xr:uid="{B322B8DF-7E9C-44DC-BEC5-FEDE30BD1835}"/>
    <cellStyle name="Total 15 4" xfId="2817" xr:uid="{43EBAF87-4CB3-4A4E-9410-20EABD386A5F}"/>
    <cellStyle name="Total 16" xfId="2366" xr:uid="{7FF68CBD-E625-4D1F-AFF5-A63FEBCB8C46}"/>
    <cellStyle name="Total 16 2" xfId="2756" xr:uid="{6E9E12CB-73D1-4CF8-9A41-7FE23CE295F4}"/>
    <cellStyle name="Total 16 3" xfId="2789" xr:uid="{5719A6E9-61B2-4555-AE2A-EDD0E5C4C6AE}"/>
    <cellStyle name="Total 16 4" xfId="2818" xr:uid="{F51B5156-7AEB-4D3E-A638-3DB15D1014FA}"/>
    <cellStyle name="Total 17" xfId="2367" xr:uid="{44B45BB7-834A-4F96-9BD7-68471C9B5353}"/>
    <cellStyle name="Total 17 2" xfId="2757" xr:uid="{39EF6109-F294-4FD1-95DC-FF88B9117E88}"/>
    <cellStyle name="Total 17 3" xfId="2790" xr:uid="{305E490C-CD2C-4401-8F94-D3316DE99016}"/>
    <cellStyle name="Total 17 4" xfId="2819" xr:uid="{45FB08BF-47E9-43B4-944D-AC191A82B5AC}"/>
    <cellStyle name="Total 18" xfId="2368" xr:uid="{205B0D2E-991E-4554-8082-5D7774B89155}"/>
    <cellStyle name="Total 18 2" xfId="2758" xr:uid="{2A05EF22-0723-4453-BF1D-B7D5392CCD5F}"/>
    <cellStyle name="Total 18 3" xfId="2791" xr:uid="{7B9F44B1-2211-4B60-8C83-243F4A8B002E}"/>
    <cellStyle name="Total 18 4" xfId="2820" xr:uid="{1D0E6E6A-4583-4DBA-824B-B3BF69981E7D}"/>
    <cellStyle name="Total 2" xfId="2369" xr:uid="{5B83B7E8-CA41-48AE-95AD-A539801202FF}"/>
    <cellStyle name="Total 2 2" xfId="2759" xr:uid="{6015EB67-1A67-4EA1-A713-A7E5B61C8BCA}"/>
    <cellStyle name="Total 2 3" xfId="2792" xr:uid="{8527CBD7-8C86-42A4-AC38-4FA3B87B4A51}"/>
    <cellStyle name="Total 3" xfId="2370" xr:uid="{A97D743D-190A-4F65-8584-1133B4540825}"/>
    <cellStyle name="Total 3 2" xfId="2760" xr:uid="{33D4A3C7-8748-43CC-8419-F7A30CCE3187}"/>
    <cellStyle name="Total 3 3" xfId="2793" xr:uid="{537971FB-4CCF-4F52-A5BE-6B7443DDA7D8}"/>
    <cellStyle name="Total 4" xfId="2371" xr:uid="{4F33FFE8-098E-40BD-A4DD-4078A28FFCE8}"/>
    <cellStyle name="Total 4 2" xfId="2372" xr:uid="{8F288E2F-8FB6-4495-BE61-F1FF6865DB93}"/>
    <cellStyle name="Total 4 2 2" xfId="2762" xr:uid="{1C661101-1B4B-4EFC-A29D-C50EDCAECFB0}"/>
    <cellStyle name="Total 4 2 3" xfId="2795" xr:uid="{A6A2B1AC-1E85-4F3B-AB70-4A0ADDA991F1}"/>
    <cellStyle name="Total 4 3" xfId="2373" xr:uid="{6CEF684D-9881-472C-A29C-D5A583B21CF4}"/>
    <cellStyle name="Total 4 3 2" xfId="2763" xr:uid="{847E98B6-BE01-4B35-8FE6-58D42A52B7D0}"/>
    <cellStyle name="Total 4 3 3" xfId="2796" xr:uid="{A61BBB23-1E32-4D7A-957C-3F2347821363}"/>
    <cellStyle name="Total 4 3 4" xfId="2821" xr:uid="{C466B48A-0A9E-416F-9701-08274F939034}"/>
    <cellStyle name="Total 4 4" xfId="2761" xr:uid="{6685F8F4-4B0A-4ADE-8BA6-4C6B3E1622E9}"/>
    <cellStyle name="Total 4 5" xfId="2794" xr:uid="{9B4D7617-7208-4DBA-AC17-3DF5DE3C5833}"/>
    <cellStyle name="Total 5" xfId="2374" xr:uid="{E4E41A06-F08C-4EF7-AC7B-788013D5C44C}"/>
    <cellStyle name="Total 5 2" xfId="2375" xr:uid="{A5370154-4F40-4379-A19C-DD4AF59EBC95}"/>
    <cellStyle name="Total 5 2 2" xfId="2765" xr:uid="{6C5D9592-976F-4F0F-8B83-471272ECA5B8}"/>
    <cellStyle name="Total 5 2 3" xfId="2798" xr:uid="{487565A4-DABA-4A32-82AF-9059701C569B}"/>
    <cellStyle name="Total 5 3" xfId="2376" xr:uid="{6874B9C1-1389-437E-92D5-8058932EF913}"/>
    <cellStyle name="Total 5 3 2" xfId="2766" xr:uid="{678D3E9A-058B-4A6B-8FF3-AC61216C8D0A}"/>
    <cellStyle name="Total 5 3 3" xfId="2799" xr:uid="{995E81E4-F9E6-4A4F-8E4C-62401E4B59A3}"/>
    <cellStyle name="Total 5 3 4" xfId="2822" xr:uid="{0916FBFF-D31C-4B78-83D3-5FF05A2845EF}"/>
    <cellStyle name="Total 5 4" xfId="2764" xr:uid="{91DA6123-161B-47CE-9E51-AC5170C33996}"/>
    <cellStyle name="Total 5 5" xfId="2797" xr:uid="{7DEA1A1F-998E-4FBB-958D-44F38D9E860B}"/>
    <cellStyle name="Total 6" xfId="2377" xr:uid="{9C397716-3D15-40B1-B182-8C730292A68C}"/>
    <cellStyle name="Total 6 2" xfId="2378" xr:uid="{EFB7F5C7-7533-4A34-BF4D-B5497CF728A1}"/>
    <cellStyle name="Total 6 2 2" xfId="2768" xr:uid="{1E70B106-F8AE-48A3-9729-22DEF6EAD9F1}"/>
    <cellStyle name="Total 6 2 3" xfId="2801" xr:uid="{FA3B43A4-1F74-4A1A-BBD0-59BE6DDA9578}"/>
    <cellStyle name="Total 6 3" xfId="2379" xr:uid="{1AAC8940-5DE5-4084-8DC4-2011E2070AFA}"/>
    <cellStyle name="Total 6 3 2" xfId="2769" xr:uid="{FEE0E209-4C55-47FD-A8D5-9F796A7FC7C4}"/>
    <cellStyle name="Total 6 3 3" xfId="2802" xr:uid="{D651D394-A177-447F-A856-AB4A5E9376E1}"/>
    <cellStyle name="Total 6 3 4" xfId="2823" xr:uid="{6F493FDA-4E06-46BE-BFDE-9355CA74C5B1}"/>
    <cellStyle name="Total 6 4" xfId="2767" xr:uid="{34DB1BA6-DFE3-42EB-AEE7-FEF8ED0A294A}"/>
    <cellStyle name="Total 6 5" xfId="2800" xr:uid="{89847FED-356E-44E7-911F-1A09113728B5}"/>
    <cellStyle name="Total 7" xfId="2380" xr:uid="{8DEF6BF6-8F8F-412F-9FE9-0E4D18F483AF}"/>
    <cellStyle name="Total 7 2" xfId="2770" xr:uid="{CFB986BD-4870-4889-AFFC-B14D095690E9}"/>
    <cellStyle name="Total 7 3" xfId="2803" xr:uid="{40647576-9716-4D65-B9C7-08D186FE85EB}"/>
    <cellStyle name="Total 7 4" xfId="2824" xr:uid="{27B2B69A-4069-464B-BB00-D11405C5527B}"/>
    <cellStyle name="Total 8" xfId="2381" xr:uid="{DC05D5AB-B2E9-47D5-9863-88B7101B08AD}"/>
    <cellStyle name="Total 8 2" xfId="2771" xr:uid="{EC12B68F-2228-4151-9C0B-2BBFF910E666}"/>
    <cellStyle name="Total 8 3" xfId="2804" xr:uid="{A1D6EB69-671C-4A7D-83A2-DC709F7FE748}"/>
    <cellStyle name="Total 8 4" xfId="2825" xr:uid="{062E60A1-EFFA-414E-A9B9-6CD43BED0AE4}"/>
    <cellStyle name="Total 9" xfId="2382" xr:uid="{35DD78C4-EA54-4F45-98F1-5AB1CFC13E65}"/>
    <cellStyle name="Total 9 2" xfId="2772" xr:uid="{0177E227-1AD8-4890-8578-5EEF4F010A1E}"/>
    <cellStyle name="Total 9 3" xfId="2805" xr:uid="{0154ED61-000E-4577-B4A8-22EB70E11139}"/>
    <cellStyle name="Total 9 4" xfId="2826" xr:uid="{90A30208-4353-40E5-8395-3C96C74A5E72}"/>
    <cellStyle name="Totale" xfId="2383" xr:uid="{FE59F060-FD9D-43AB-8857-27827611CEBC}"/>
    <cellStyle name="Totale 2" xfId="2773" xr:uid="{B562CAD7-8F03-49EE-8B61-FB0EC49C7E00}"/>
    <cellStyle name="Totale 3" xfId="2806" xr:uid="{7B50E573-74D6-4EE3-AE81-E3F54B797D57}"/>
    <cellStyle name="Totals" xfId="2384" xr:uid="{657334AF-D25B-4CFC-9162-D3581157A875}"/>
    <cellStyle name="Tulostus" xfId="2385" xr:uid="{429662C3-E962-4F71-B201-E07193DA26D5}"/>
    <cellStyle name="Tulostus 2" xfId="2774" xr:uid="{9F36DB50-83D1-4A05-A7CC-8B00F7F72AEE}"/>
    <cellStyle name="Tulostus 3" xfId="2807" xr:uid="{6FB1A81D-6D7F-4AED-AE2C-5B3E031A5B4C}"/>
    <cellStyle name="Überschrift" xfId="2386" xr:uid="{8D222C43-F18C-467F-B8C3-02CB46640D83}"/>
    <cellStyle name="Überschrift 1" xfId="2387" xr:uid="{64F39291-6AD5-4344-9E6D-570F9FAD3C76}"/>
    <cellStyle name="Überschrift 2" xfId="2388" xr:uid="{13CBBE46-9950-4E28-BD89-1B9E97A7309B}"/>
    <cellStyle name="Überschrift 3" xfId="2389" xr:uid="{5358B911-25FD-4EA5-A09A-920CC47A0864}"/>
    <cellStyle name="Überschrift 4" xfId="2390" xr:uid="{23203703-4241-4325-93DE-310BF6936051}"/>
    <cellStyle name="Überschrift_100125_QIS5 Helper tabs with Reins NP" xfId="2391" xr:uid="{251CD3AF-DE1F-4A1E-BA40-0AB7DF0BF1C4}"/>
    <cellStyle name="Undefined" xfId="2392" xr:uid="{3033B20D-670F-467A-9DB1-CE54ACFDD5E3}"/>
    <cellStyle name="Underline 2" xfId="2393" xr:uid="{87484274-7F9E-4A1B-B5B5-C139C2EE39D4}"/>
    <cellStyle name="Valore non valido" xfId="2394" xr:uid="{B93796F4-3759-46B9-865E-470DB2AC8BEE}"/>
    <cellStyle name="Valore valido" xfId="2395" xr:uid="{2BC38870-C4B8-49B9-AC35-1A304098B126}"/>
    <cellStyle name="Varoitusteksti" xfId="2396" xr:uid="{244F352B-F0EA-4753-BF76-E90B389C0110}"/>
    <cellStyle name="Vérification" xfId="2397" xr:uid="{87C9B09C-9C94-4E61-ADB7-86148E28CBBA}"/>
    <cellStyle name="Verknüpfte Zelle" xfId="2398" xr:uid="{63C2024C-EEEB-4BE7-9C12-589EAEAF4CE1}"/>
    <cellStyle name="Währung [0]_31.01.96" xfId="2399" xr:uid="{EA732F73-8298-4925-B6BC-5EDE9ECE3E38}"/>
    <cellStyle name="Währung_31.01.96" xfId="2400" xr:uid="{81567589-4B16-4142-9880-9F1A2961C9CB}"/>
    <cellStyle name="Warnender Text" xfId="2401" xr:uid="{2EC8A734-A336-4363-B62F-583F9F059114}"/>
    <cellStyle name="Warning Text" xfId="14" builtinId="11" customBuiltin="1"/>
    <cellStyle name="Warning Text 10" xfId="2402" xr:uid="{50CC21B4-91AD-4432-8CAD-5E43AA9DAA42}"/>
    <cellStyle name="Warning Text 11" xfId="2403" xr:uid="{3B7B1E97-85A7-4608-83F5-CC3490713EFE}"/>
    <cellStyle name="Warning Text 12" xfId="2404" xr:uid="{8880A4F9-7E01-4A68-BFF4-83F10893F32D}"/>
    <cellStyle name="Warning Text 13" xfId="2405" xr:uid="{A4E5CB78-A935-4889-9D43-CF23D58A6752}"/>
    <cellStyle name="Warning Text 14" xfId="2406" xr:uid="{F4D2A703-175D-4DDB-8B60-939DF531A7FB}"/>
    <cellStyle name="Warning Text 15" xfId="2407" xr:uid="{AA31A8B0-9018-4CC3-9AF5-1DB17CD393E0}"/>
    <cellStyle name="Warning Text 16" xfId="2408" xr:uid="{EA5F34CD-9BF6-479E-9224-76B7AE59698F}"/>
    <cellStyle name="Warning Text 17" xfId="2409" xr:uid="{FD6AD649-0EC0-4DC5-A2FF-66B5E4A0ED9A}"/>
    <cellStyle name="Warning Text 18" xfId="2410" xr:uid="{4797080A-3C15-438F-93AB-819D7B4A8CEA}"/>
    <cellStyle name="Warning Text 2" xfId="2411" xr:uid="{B8CC9611-1BD6-4D94-A93F-EE04D6867D51}"/>
    <cellStyle name="Warning Text 3" xfId="2412" xr:uid="{F0666AD2-39C8-4191-A67D-8BA449A710E9}"/>
    <cellStyle name="Warning Text 4" xfId="2413" xr:uid="{3E9840F9-63AC-4F02-BD9C-1EF36E8E9937}"/>
    <cellStyle name="Warning Text 5" xfId="2414" xr:uid="{65FBD7F2-D712-4091-9782-4D0FAE552E37}"/>
    <cellStyle name="Warning Text 6" xfId="2415" xr:uid="{DB5105D8-2C7F-440B-893E-8610092D146F}"/>
    <cellStyle name="Warning Text 7" xfId="2416" xr:uid="{F9FE44FC-C7C2-4B2F-8975-8B8673B27F5E}"/>
    <cellStyle name="Warning Text 8" xfId="2417" xr:uid="{370C6E5E-0E97-4E7B-BD63-109CAAB9B3E8}"/>
    <cellStyle name="Warning Text 9" xfId="2418" xr:uid="{A56EA8CF-33DE-4FB0-AEF9-A0D10838B70E}"/>
    <cellStyle name="Year" xfId="2419" xr:uid="{EE0DB90E-74EC-4072-9A24-27DFDC07F183}"/>
    <cellStyle name="Year 2" xfId="2420" xr:uid="{0F2C3BD0-B084-4185-A077-868CFE8485BA}"/>
    <cellStyle name="Year 2 2" xfId="2777" xr:uid="{7672D754-5E5A-47A6-BC5A-C26AC93429A5}"/>
    <cellStyle name="Year 2 3" xfId="2809" xr:uid="{5E3CFA57-B64A-4550-A309-93FB1CD8F9D0}"/>
    <cellStyle name="Year 2 4" xfId="2828" xr:uid="{3EBD43E2-5730-437B-91A7-EF7BCBAE7A1E}"/>
    <cellStyle name="Year 3" xfId="2421" xr:uid="{F68D64D8-05AF-4ED6-8245-ED42E3452424}"/>
    <cellStyle name="Year 3 2" xfId="2778" xr:uid="{2AD69D51-32EF-4B23-B2D7-311CF1531428}"/>
    <cellStyle name="Year 3 3" xfId="2810" xr:uid="{12919214-6041-4CE1-8953-936E96FF49E0}"/>
    <cellStyle name="Year 3 4" xfId="2829" xr:uid="{D9758A69-886F-473F-BA80-A7AF56388DB8}"/>
    <cellStyle name="Year 4" xfId="2776" xr:uid="{4FAA74BE-3CF0-4F7C-84E6-2FC454FF3391}"/>
    <cellStyle name="Year 5" xfId="2808" xr:uid="{61F658D8-22A5-41FC-AEBC-636876D5A1E8}"/>
    <cellStyle name="Year 6" xfId="2827" xr:uid="{B9FA41E4-6E9D-40E5-8E89-6953FA512792}"/>
    <cellStyle name="Zelle überprüfen" xfId="2422" xr:uid="{098994FC-BFAF-4419-8002-A89FFD3E45C8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0" tint="-0.14996795556505021"/>
        </bottom>
      </border>
    </dxf>
    <dxf>
      <fill>
        <patternFill patternType="solid">
          <fgColor indexed="64"/>
          <bgColor rgb="FFFFFFCC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C67D19-8B6D-4F5C-A2F0-2C6C2B36ECE4}" name="tPremRes" displayName="tPremRes" ref="B5:W45" totalsRowShown="0" headerRowDxfId="31" dataDxfId="29" headerRowBorderDxfId="30" tableBorderDxfId="28">
  <autoFilter ref="B5:W45" xr:uid="{BA30A7B1-2563-47EB-B19A-83A608000FE2}"/>
  <tableColumns count="22">
    <tableColumn id="1" xr3:uid="{07FD8F3D-BAC2-46AA-856B-02E0246EA81D}" name="level_1" dataDxfId="27"/>
    <tableColumn id="2" xr3:uid="{6DAA3720-6C53-4946-AB22-0435226E0537}" name="level_2" dataDxfId="26"/>
    <tableColumn id="3" xr3:uid="{8BC0B821-D880-4D97-BD28-BB93D822DBFD}" name="lob_type" dataDxfId="25"/>
    <tableColumn id="4" xr3:uid="{9D7C03C0-34B9-4113-8A88-113428712961}" name="lob" dataDxfId="24"/>
    <tableColumn id="5" xr3:uid="{EB388E8E-B5CF-4CC7-91E9-B712DFED2682}" name="gross_p" dataDxfId="23" dataCellStyle="Comma"/>
    <tableColumn id="6" xr3:uid="{3D5F386B-45E0-40AD-92FB-34D8DB7FB50A}" name="gross_p_last" dataDxfId="22" dataCellStyle="Comma"/>
    <tableColumn id="7" xr3:uid="{7C454A14-9062-45B5-8840-3B24765ACF37}" name="gross_p_last_24" dataDxfId="21" dataCellStyle="Comma"/>
    <tableColumn id="8" xr3:uid="{88D1007B-1A4A-4407-93D1-BAFD58D419ED}" name="gross_fp_existing" dataDxfId="20" dataCellStyle="Comma"/>
    <tableColumn id="9" xr3:uid="{C7AC7201-C455-4393-83D0-C0107399D737}" name="gross_fp_future" dataDxfId="19" dataCellStyle="Comma"/>
    <tableColumn id="10" xr3:uid="{830FAF71-9507-43ED-890C-B7D2D39AD295}" name="gross_claim" dataDxfId="18" dataCellStyle="Comma"/>
    <tableColumn id="11" xr3:uid="{D9305B0D-E8A5-4B5B-B203-17F8DDEF8AA9}" name="gross_other" dataDxfId="17" dataCellStyle="Comma"/>
    <tableColumn id="12" xr3:uid="{1A20E8F0-D106-4EF5-A542-4BC1B6B79225}" name="net_p" dataDxfId="16" dataCellStyle="Comma"/>
    <tableColumn id="13" xr3:uid="{2FD585CC-4C9C-4584-9967-B2FAF3C443E2}" name="net_p_last" dataDxfId="15" dataCellStyle="Comma"/>
    <tableColumn id="14" xr3:uid="{C376732A-C691-4F09-98CD-8BC59CEC7355}" name="net_p_last_24" dataDxfId="14" dataCellStyle="Comma"/>
    <tableColumn id="15" xr3:uid="{0178DE0E-444F-4969-BA1E-3CBA9111F719}" name="net_fp_existing" dataDxfId="13" dataCellStyle="Comma"/>
    <tableColumn id="16" xr3:uid="{6BAC8A9D-22B8-42C7-BB3C-6213082B310F}" name="net_fp_future" dataDxfId="12" dataCellStyle="Comma"/>
    <tableColumn id="17" xr3:uid="{7EF0D57E-F73F-4981-9F48-F1482954FC22}" name="net_claim" dataDxfId="11" dataCellStyle="Comma"/>
    <tableColumn id="18" xr3:uid="{531402B1-5666-4A10-BDC8-AE86CD861027}" name="net_other" dataDxfId="10" dataCellStyle="Comma"/>
    <tableColumn id="19" xr3:uid="{2730DB33-0619-4375-A71F-725A5CEF63BB}" name="include_factor_cat" dataDxfId="9"/>
    <tableColumn id="20" xr3:uid="{943E9C3F-48B1-428D-9BC2-4369730DCA92}" name="include_np_cat" dataDxfId="8"/>
    <tableColumn id="21" xr3:uid="{8F19BF8D-B9FE-459F-9B09-4686820238C6}" name="reinsurance_id" dataDxfId="7"/>
    <tableColumn id="22" xr3:uid="{BD26DFC4-B6EE-428E-A5D0-4E42FEFE4D00}" name="ri_structure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615FE7-A73A-4367-918D-4EFCA3CC0B62}" name="tReinsurance" displayName="tReinsurance" ref="Y5:AA17" totalsRowShown="0" headerRowDxfId="5" headerRowBorderDxfId="4" tableBorderDxfId="3">
  <autoFilter ref="Y5:AA17" xr:uid="{CD615FE7-A73A-4367-918D-4EFCA3CC0B62}"/>
  <tableColumns count="3">
    <tableColumn id="1" xr3:uid="{8665AA23-E33C-4D16-BB43-6A8C267A1881}" name="reinsurance_id" dataDxfId="2"/>
    <tableColumn id="2" xr3:uid="{56E6811D-D197-45A0-A314-F67327165898}" name="counterparty_id" dataDxfId="1"/>
    <tableColumn id="3" xr3:uid="{5E43937E-3100-4119-A252-5278C3E744D0}" name="counterparty_share" dataDxfId="0" dataCellStyle="Per 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clive-africa/magnus/wiki/Premium-Reserve" TargetMode="External"/><Relationship Id="rId1" Type="http://schemas.openxmlformats.org/officeDocument/2006/relationships/hyperlink" Target="https://github.com/clive-africa/magnus/wiki/Premium-Reserve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B3518-5654-4240-AEC1-82213C876F95}">
  <sheetPr codeName="Sheet37"/>
  <dimension ref="B3:B15"/>
  <sheetViews>
    <sheetView showGridLines="0" workbookViewId="0">
      <selection activeCell="L14" sqref="L14"/>
    </sheetView>
  </sheetViews>
  <sheetFormatPr defaultRowHeight="14.5"/>
  <cols>
    <col min="1" max="1" width="1.36328125" customWidth="1"/>
    <col min="2" max="2" width="74.36328125" customWidth="1"/>
  </cols>
  <sheetData>
    <row r="3" spans="2:2" ht="16">
      <c r="B3" s="129" t="s">
        <v>316</v>
      </c>
    </row>
    <row r="4" spans="2:2" ht="16">
      <c r="B4" s="121"/>
    </row>
    <row r="5" spans="2:2" ht="16">
      <c r="B5" s="121" t="s">
        <v>307</v>
      </c>
    </row>
    <row r="6" spans="2:2" ht="16">
      <c r="B6" s="121" t="s">
        <v>308</v>
      </c>
    </row>
    <row r="7" spans="2:2" ht="16">
      <c r="B7" s="121" t="s">
        <v>309</v>
      </c>
    </row>
    <row r="8" spans="2:2" ht="16">
      <c r="B8" s="121"/>
    </row>
    <row r="9" spans="2:2" ht="16">
      <c r="B9" s="121" t="s">
        <v>310</v>
      </c>
    </row>
    <row r="10" spans="2:2" ht="16">
      <c r="B10" s="121"/>
    </row>
    <row r="11" spans="2:2" ht="16">
      <c r="B11" s="121" t="s">
        <v>311</v>
      </c>
    </row>
    <row r="12" spans="2:2" ht="16">
      <c r="B12" s="121" t="s">
        <v>312</v>
      </c>
    </row>
    <row r="13" spans="2:2" ht="16">
      <c r="B13" s="121" t="s">
        <v>313</v>
      </c>
    </row>
    <row r="14" spans="2:2" ht="16">
      <c r="B14" s="121" t="s">
        <v>314</v>
      </c>
    </row>
    <row r="15" spans="2:2" ht="16">
      <c r="B15" s="121" t="s">
        <v>315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77CD5-01AA-481B-AA0B-A466A41EF30D}">
  <sheetPr codeName="Sheet38"/>
  <dimension ref="B2:B202"/>
  <sheetViews>
    <sheetView showGridLines="0" topLeftCell="A106" workbookViewId="0">
      <selection activeCell="B217" sqref="B217"/>
    </sheetView>
  </sheetViews>
  <sheetFormatPr defaultRowHeight="14.5"/>
  <cols>
    <col min="1" max="1" width="1.36328125" customWidth="1"/>
    <col min="2" max="2" width="99.453125" customWidth="1"/>
  </cols>
  <sheetData>
    <row r="2" spans="2:2">
      <c r="B2" s="122" t="s">
        <v>317</v>
      </c>
    </row>
    <row r="3" spans="2:2">
      <c r="B3" s="122" t="s">
        <v>318</v>
      </c>
    </row>
    <row r="4" spans="2:2">
      <c r="B4" s="122" t="s">
        <v>319</v>
      </c>
    </row>
    <row r="5" spans="2:2">
      <c r="B5" s="123"/>
    </row>
    <row r="6" spans="2:2">
      <c r="B6" s="122" t="s">
        <v>320</v>
      </c>
    </row>
    <row r="7" spans="2:2">
      <c r="B7" s="123"/>
    </row>
    <row r="8" spans="2:2">
      <c r="B8" s="122" t="s">
        <v>321</v>
      </c>
    </row>
    <row r="9" spans="2:2">
      <c r="B9" s="123"/>
    </row>
    <row r="10" spans="2:2">
      <c r="B10" s="122" t="s">
        <v>322</v>
      </c>
    </row>
    <row r="11" spans="2:2">
      <c r="B11" s="122" t="s">
        <v>323</v>
      </c>
    </row>
    <row r="12" spans="2:2">
      <c r="B12" s="123"/>
    </row>
    <row r="13" spans="2:2">
      <c r="B13" s="122" t="s">
        <v>324</v>
      </c>
    </row>
    <row r="14" spans="2:2">
      <c r="B14" s="122" t="s">
        <v>325</v>
      </c>
    </row>
    <row r="15" spans="2:2">
      <c r="B15" s="123"/>
    </row>
    <row r="16" spans="2:2">
      <c r="B16" s="122" t="s">
        <v>326</v>
      </c>
    </row>
    <row r="17" spans="2:2">
      <c r="B17" s="122" t="s">
        <v>327</v>
      </c>
    </row>
    <row r="18" spans="2:2">
      <c r="B18" s="122" t="s">
        <v>328</v>
      </c>
    </row>
    <row r="19" spans="2:2">
      <c r="B19" s="122" t="s">
        <v>329</v>
      </c>
    </row>
    <row r="20" spans="2:2">
      <c r="B20" s="122" t="s">
        <v>330</v>
      </c>
    </row>
    <row r="21" spans="2:2">
      <c r="B21" s="122" t="s">
        <v>331</v>
      </c>
    </row>
    <row r="22" spans="2:2">
      <c r="B22" s="122" t="s">
        <v>332</v>
      </c>
    </row>
    <row r="23" spans="2:2">
      <c r="B23" s="123"/>
    </row>
    <row r="24" spans="2:2">
      <c r="B24" s="122" t="s">
        <v>333</v>
      </c>
    </row>
    <row r="25" spans="2:2">
      <c r="B25" s="122" t="s">
        <v>334</v>
      </c>
    </row>
    <row r="26" spans="2:2">
      <c r="B26" s="123"/>
    </row>
    <row r="27" spans="2:2">
      <c r="B27" s="122" t="s">
        <v>335</v>
      </c>
    </row>
    <row r="28" spans="2:2">
      <c r="B28" s="122" t="s">
        <v>336</v>
      </c>
    </row>
    <row r="29" spans="2:2">
      <c r="B29" s="122" t="s">
        <v>337</v>
      </c>
    </row>
    <row r="30" spans="2:2">
      <c r="B30" s="123"/>
    </row>
    <row r="31" spans="2:2">
      <c r="B31" s="122" t="s">
        <v>338</v>
      </c>
    </row>
    <row r="32" spans="2:2">
      <c r="B32" s="122" t="s">
        <v>339</v>
      </c>
    </row>
    <row r="33" spans="2:2">
      <c r="B33" s="122" t="s">
        <v>340</v>
      </c>
    </row>
    <row r="34" spans="2:2">
      <c r="B34" s="122" t="s">
        <v>341</v>
      </c>
    </row>
    <row r="35" spans="2:2">
      <c r="B35" s="123"/>
    </row>
    <row r="36" spans="2:2">
      <c r="B36" s="122" t="s">
        <v>342</v>
      </c>
    </row>
    <row r="37" spans="2:2">
      <c r="B37" s="122" t="s">
        <v>343</v>
      </c>
    </row>
    <row r="38" spans="2:2">
      <c r="B38" s="122" t="s">
        <v>344</v>
      </c>
    </row>
    <row r="39" spans="2:2">
      <c r="B39" s="122" t="s">
        <v>345</v>
      </c>
    </row>
    <row r="40" spans="2:2">
      <c r="B40" s="123"/>
    </row>
    <row r="41" spans="2:2">
      <c r="B41" s="122" t="s">
        <v>346</v>
      </c>
    </row>
    <row r="42" spans="2:2">
      <c r="B42" s="122" t="s">
        <v>347</v>
      </c>
    </row>
    <row r="43" spans="2:2">
      <c r="B43" s="122" t="s">
        <v>348</v>
      </c>
    </row>
    <row r="44" spans="2:2">
      <c r="B44" s="122" t="s">
        <v>349</v>
      </c>
    </row>
    <row r="45" spans="2:2">
      <c r="B45" s="122" t="s">
        <v>350</v>
      </c>
    </row>
    <row r="46" spans="2:2">
      <c r="B46" s="122" t="s">
        <v>351</v>
      </c>
    </row>
    <row r="47" spans="2:2">
      <c r="B47" s="122" t="s">
        <v>352</v>
      </c>
    </row>
    <row r="48" spans="2:2">
      <c r="B48" s="123"/>
    </row>
    <row r="49" spans="2:2">
      <c r="B49" s="122" t="s">
        <v>353</v>
      </c>
    </row>
    <row r="50" spans="2:2">
      <c r="B50" s="122" t="s">
        <v>354</v>
      </c>
    </row>
    <row r="51" spans="2:2">
      <c r="B51" s="122" t="s">
        <v>355</v>
      </c>
    </row>
    <row r="52" spans="2:2">
      <c r="B52" s="122" t="s">
        <v>356</v>
      </c>
    </row>
    <row r="53" spans="2:2">
      <c r="B53" s="122" t="s">
        <v>357</v>
      </c>
    </row>
    <row r="54" spans="2:2">
      <c r="B54" s="122" t="s">
        <v>358</v>
      </c>
    </row>
    <row r="55" spans="2:2">
      <c r="B55" s="122" t="s">
        <v>359</v>
      </c>
    </row>
    <row r="56" spans="2:2">
      <c r="B56" s="122" t="s">
        <v>360</v>
      </c>
    </row>
    <row r="57" spans="2:2">
      <c r="B57" s="122" t="s">
        <v>361</v>
      </c>
    </row>
    <row r="58" spans="2:2">
      <c r="B58" s="122" t="s">
        <v>362</v>
      </c>
    </row>
    <row r="59" spans="2:2">
      <c r="B59" s="122" t="s">
        <v>363</v>
      </c>
    </row>
    <row r="60" spans="2:2">
      <c r="B60" s="122" t="s">
        <v>364</v>
      </c>
    </row>
    <row r="61" spans="2:2">
      <c r="B61" s="122" t="s">
        <v>365</v>
      </c>
    </row>
    <row r="62" spans="2:2">
      <c r="B62" s="123"/>
    </row>
    <row r="63" spans="2:2">
      <c r="B63" s="122" t="s">
        <v>366</v>
      </c>
    </row>
    <row r="64" spans="2:2">
      <c r="B64" s="122" t="s">
        <v>367</v>
      </c>
    </row>
    <row r="65" spans="2:2">
      <c r="B65" s="122" t="s">
        <v>368</v>
      </c>
    </row>
    <row r="66" spans="2:2">
      <c r="B66" s="123"/>
    </row>
    <row r="67" spans="2:2">
      <c r="B67" s="122" t="s">
        <v>369</v>
      </c>
    </row>
    <row r="68" spans="2:2">
      <c r="B68" s="122" t="s">
        <v>370</v>
      </c>
    </row>
    <row r="69" spans="2:2">
      <c r="B69" s="122" t="s">
        <v>371</v>
      </c>
    </row>
    <row r="70" spans="2:2">
      <c r="B70" s="122" t="s">
        <v>372</v>
      </c>
    </row>
    <row r="71" spans="2:2">
      <c r="B71" s="122" t="s">
        <v>373</v>
      </c>
    </row>
    <row r="72" spans="2:2">
      <c r="B72" s="122" t="s">
        <v>374</v>
      </c>
    </row>
    <row r="73" spans="2:2">
      <c r="B73" s="123"/>
    </row>
    <row r="74" spans="2:2">
      <c r="B74" s="122" t="s">
        <v>375</v>
      </c>
    </row>
    <row r="75" spans="2:2">
      <c r="B75" s="122" t="s">
        <v>370</v>
      </c>
    </row>
    <row r="76" spans="2:2">
      <c r="B76" s="122" t="s">
        <v>371</v>
      </c>
    </row>
    <row r="77" spans="2:2">
      <c r="B77" s="122" t="s">
        <v>376</v>
      </c>
    </row>
    <row r="78" spans="2:2">
      <c r="B78" s="122" t="s">
        <v>377</v>
      </c>
    </row>
    <row r="79" spans="2:2">
      <c r="B79" s="122" t="s">
        <v>378</v>
      </c>
    </row>
    <row r="80" spans="2:2">
      <c r="B80" s="122" t="s">
        <v>379</v>
      </c>
    </row>
    <row r="81" spans="2:2">
      <c r="B81" s="122" t="s">
        <v>380</v>
      </c>
    </row>
    <row r="82" spans="2:2">
      <c r="B82" s="122" t="s">
        <v>381</v>
      </c>
    </row>
    <row r="83" spans="2:2">
      <c r="B83" s="122" t="s">
        <v>382</v>
      </c>
    </row>
    <row r="84" spans="2:2">
      <c r="B84" s="122" t="s">
        <v>383</v>
      </c>
    </row>
    <row r="85" spans="2:2">
      <c r="B85" s="122" t="s">
        <v>384</v>
      </c>
    </row>
    <row r="86" spans="2:2">
      <c r="B86" s="122" t="s">
        <v>385</v>
      </c>
    </row>
    <row r="87" spans="2:2">
      <c r="B87" s="122" t="s">
        <v>386</v>
      </c>
    </row>
    <row r="88" spans="2:2">
      <c r="B88" s="122" t="s">
        <v>387</v>
      </c>
    </row>
    <row r="89" spans="2:2">
      <c r="B89" s="123"/>
    </row>
    <row r="90" spans="2:2">
      <c r="B90" s="122" t="s">
        <v>388</v>
      </c>
    </row>
    <row r="91" spans="2:2">
      <c r="B91" s="122" t="s">
        <v>389</v>
      </c>
    </row>
    <row r="92" spans="2:2">
      <c r="B92" s="122" t="s">
        <v>390</v>
      </c>
    </row>
    <row r="93" spans="2:2">
      <c r="B93" s="122" t="s">
        <v>391</v>
      </c>
    </row>
    <row r="94" spans="2:2">
      <c r="B94" s="123"/>
    </row>
    <row r="95" spans="2:2">
      <c r="B95" s="122" t="s">
        <v>392</v>
      </c>
    </row>
    <row r="96" spans="2:2">
      <c r="B96" s="122" t="s">
        <v>393</v>
      </c>
    </row>
    <row r="97" spans="2:2">
      <c r="B97" s="123"/>
    </row>
    <row r="98" spans="2:2">
      <c r="B98" s="122" t="s">
        <v>394</v>
      </c>
    </row>
    <row r="99" spans="2:2">
      <c r="B99" s="122" t="s">
        <v>395</v>
      </c>
    </row>
    <row r="100" spans="2:2">
      <c r="B100" s="123"/>
    </row>
    <row r="101" spans="2:2">
      <c r="B101" s="122" t="s">
        <v>396</v>
      </c>
    </row>
    <row r="102" spans="2:2">
      <c r="B102" s="122" t="s">
        <v>397</v>
      </c>
    </row>
    <row r="103" spans="2:2">
      <c r="B103" s="122" t="s">
        <v>398</v>
      </c>
    </row>
    <row r="104" spans="2:2">
      <c r="B104" s="122" t="s">
        <v>399</v>
      </c>
    </row>
    <row r="105" spans="2:2">
      <c r="B105" s="122" t="s">
        <v>400</v>
      </c>
    </row>
    <row r="106" spans="2:2">
      <c r="B106" s="123"/>
    </row>
    <row r="107" spans="2:2">
      <c r="B107" s="122" t="s">
        <v>401</v>
      </c>
    </row>
    <row r="108" spans="2:2">
      <c r="B108" s="122" t="s">
        <v>402</v>
      </c>
    </row>
    <row r="109" spans="2:2">
      <c r="B109" s="122" t="s">
        <v>403</v>
      </c>
    </row>
    <row r="110" spans="2:2">
      <c r="B110" s="122" t="s">
        <v>404</v>
      </c>
    </row>
    <row r="111" spans="2:2">
      <c r="B111" s="122" t="s">
        <v>405</v>
      </c>
    </row>
    <row r="112" spans="2:2">
      <c r="B112" s="122" t="s">
        <v>406</v>
      </c>
    </row>
    <row r="113" spans="2:2">
      <c r="B113" s="122" t="s">
        <v>407</v>
      </c>
    </row>
    <row r="114" spans="2:2">
      <c r="B114" s="122" t="s">
        <v>408</v>
      </c>
    </row>
    <row r="115" spans="2:2">
      <c r="B115" s="122" t="s">
        <v>409</v>
      </c>
    </row>
    <row r="116" spans="2:2">
      <c r="B116" s="122" t="s">
        <v>410</v>
      </c>
    </row>
    <row r="117" spans="2:2">
      <c r="B117" s="122" t="s">
        <v>411</v>
      </c>
    </row>
    <row r="118" spans="2:2">
      <c r="B118" s="122" t="s">
        <v>412</v>
      </c>
    </row>
    <row r="119" spans="2:2">
      <c r="B119" s="122" t="s">
        <v>413</v>
      </c>
    </row>
    <row r="120" spans="2:2">
      <c r="B120" s="122" t="s">
        <v>414</v>
      </c>
    </row>
    <row r="121" spans="2:2">
      <c r="B121" s="122" t="s">
        <v>415</v>
      </c>
    </row>
    <row r="122" spans="2:2">
      <c r="B122" s="122" t="s">
        <v>416</v>
      </c>
    </row>
    <row r="123" spans="2:2">
      <c r="B123" s="123"/>
    </row>
    <row r="124" spans="2:2">
      <c r="B124" s="122" t="s">
        <v>417</v>
      </c>
    </row>
    <row r="125" spans="2:2">
      <c r="B125" s="122" t="s">
        <v>418</v>
      </c>
    </row>
    <row r="126" spans="2:2">
      <c r="B126" s="122" t="s">
        <v>419</v>
      </c>
    </row>
    <row r="127" spans="2:2">
      <c r="B127" s="122" t="s">
        <v>420</v>
      </c>
    </row>
    <row r="128" spans="2:2">
      <c r="B128" s="122" t="s">
        <v>421</v>
      </c>
    </row>
    <row r="129" spans="2:2">
      <c r="B129" s="122" t="s">
        <v>422</v>
      </c>
    </row>
    <row r="130" spans="2:2">
      <c r="B130" s="123"/>
    </row>
    <row r="131" spans="2:2">
      <c r="B131" s="122" t="s">
        <v>423</v>
      </c>
    </row>
    <row r="132" spans="2:2">
      <c r="B132" s="122" t="s">
        <v>424</v>
      </c>
    </row>
    <row r="133" spans="2:2">
      <c r="B133" s="122" t="s">
        <v>425</v>
      </c>
    </row>
    <row r="134" spans="2:2">
      <c r="B134" s="122" t="s">
        <v>426</v>
      </c>
    </row>
    <row r="135" spans="2:2">
      <c r="B135" s="122" t="s">
        <v>427</v>
      </c>
    </row>
    <row r="136" spans="2:2">
      <c r="B136" s="122" t="s">
        <v>428</v>
      </c>
    </row>
    <row r="137" spans="2:2">
      <c r="B137" s="122" t="s">
        <v>429</v>
      </c>
    </row>
    <row r="138" spans="2:2">
      <c r="B138" s="123"/>
    </row>
    <row r="139" spans="2:2">
      <c r="B139" s="122" t="s">
        <v>430</v>
      </c>
    </row>
    <row r="140" spans="2:2">
      <c r="B140" s="122" t="s">
        <v>431</v>
      </c>
    </row>
    <row r="141" spans="2:2">
      <c r="B141" s="122" t="s">
        <v>432</v>
      </c>
    </row>
    <row r="142" spans="2:2">
      <c r="B142" s="122" t="s">
        <v>433</v>
      </c>
    </row>
    <row r="143" spans="2:2">
      <c r="B143" s="123"/>
    </row>
    <row r="144" spans="2:2">
      <c r="B144" s="122" t="s">
        <v>434</v>
      </c>
    </row>
    <row r="145" spans="2:2">
      <c r="B145" s="122" t="s">
        <v>435</v>
      </c>
    </row>
    <row r="146" spans="2:2">
      <c r="B146" s="122" t="s">
        <v>436</v>
      </c>
    </row>
    <row r="147" spans="2:2">
      <c r="B147" s="122" t="s">
        <v>437</v>
      </c>
    </row>
    <row r="148" spans="2:2">
      <c r="B148" s="122" t="s">
        <v>438</v>
      </c>
    </row>
    <row r="149" spans="2:2">
      <c r="B149" s="122" t="s">
        <v>439</v>
      </c>
    </row>
    <row r="150" spans="2:2">
      <c r="B150" s="122" t="s">
        <v>440</v>
      </c>
    </row>
    <row r="151" spans="2:2">
      <c r="B151" s="122" t="s">
        <v>441</v>
      </c>
    </row>
    <row r="152" spans="2:2">
      <c r="B152" s="122" t="s">
        <v>442</v>
      </c>
    </row>
    <row r="153" spans="2:2">
      <c r="B153" s="123"/>
    </row>
    <row r="154" spans="2:2">
      <c r="B154" s="122" t="s">
        <v>443</v>
      </c>
    </row>
    <row r="155" spans="2:2">
      <c r="B155" s="122" t="s">
        <v>444</v>
      </c>
    </row>
    <row r="156" spans="2:2">
      <c r="B156" s="122" t="s">
        <v>445</v>
      </c>
    </row>
    <row r="157" spans="2:2">
      <c r="B157" s="122" t="s">
        <v>446</v>
      </c>
    </row>
    <row r="158" spans="2:2">
      <c r="B158" s="122" t="s">
        <v>447</v>
      </c>
    </row>
    <row r="159" spans="2:2">
      <c r="B159" s="122" t="s">
        <v>448</v>
      </c>
    </row>
    <row r="160" spans="2:2">
      <c r="B160" s="122" t="s">
        <v>449</v>
      </c>
    </row>
    <row r="161" spans="2:2">
      <c r="B161" s="122" t="s">
        <v>450</v>
      </c>
    </row>
    <row r="162" spans="2:2">
      <c r="B162" s="122" t="s">
        <v>451</v>
      </c>
    </row>
    <row r="163" spans="2:2">
      <c r="B163" s="122" t="s">
        <v>452</v>
      </c>
    </row>
    <row r="164" spans="2:2">
      <c r="B164" s="122" t="s">
        <v>453</v>
      </c>
    </row>
    <row r="165" spans="2:2">
      <c r="B165" s="123"/>
    </row>
    <row r="166" spans="2:2">
      <c r="B166" s="122" t="s">
        <v>454</v>
      </c>
    </row>
    <row r="167" spans="2:2">
      <c r="B167" s="122" t="s">
        <v>455</v>
      </c>
    </row>
    <row r="168" spans="2:2">
      <c r="B168" s="122" t="s">
        <v>456</v>
      </c>
    </row>
    <row r="169" spans="2:2">
      <c r="B169" s="122" t="s">
        <v>457</v>
      </c>
    </row>
    <row r="170" spans="2:2">
      <c r="B170" s="122" t="s">
        <v>458</v>
      </c>
    </row>
    <row r="171" spans="2:2">
      <c r="B171" s="122" t="s">
        <v>459</v>
      </c>
    </row>
    <row r="172" spans="2:2">
      <c r="B172" s="122" t="s">
        <v>460</v>
      </c>
    </row>
    <row r="173" spans="2:2">
      <c r="B173" s="122" t="s">
        <v>461</v>
      </c>
    </row>
    <row r="174" spans="2:2">
      <c r="B174" s="122" t="s">
        <v>462</v>
      </c>
    </row>
    <row r="175" spans="2:2">
      <c r="B175" s="122" t="s">
        <v>463</v>
      </c>
    </row>
    <row r="176" spans="2:2">
      <c r="B176" s="123"/>
    </row>
    <row r="177" spans="2:2">
      <c r="B177" s="122" t="s">
        <v>464</v>
      </c>
    </row>
    <row r="178" spans="2:2">
      <c r="B178" s="123"/>
    </row>
    <row r="179" spans="2:2">
      <c r="B179" s="122" t="s">
        <v>465</v>
      </c>
    </row>
    <row r="180" spans="2:2">
      <c r="B180" s="123"/>
    </row>
    <row r="181" spans="2:2">
      <c r="B181" s="122" t="s">
        <v>466</v>
      </c>
    </row>
    <row r="182" spans="2:2">
      <c r="B182" s="122" t="s">
        <v>467</v>
      </c>
    </row>
    <row r="183" spans="2:2">
      <c r="B183" s="122" t="s">
        <v>468</v>
      </c>
    </row>
    <row r="184" spans="2:2">
      <c r="B184" s="122" t="s">
        <v>469</v>
      </c>
    </row>
    <row r="185" spans="2:2">
      <c r="B185" s="122" t="s">
        <v>470</v>
      </c>
    </row>
    <row r="186" spans="2:2">
      <c r="B186" s="122" t="s">
        <v>471</v>
      </c>
    </row>
    <row r="187" spans="2:2">
      <c r="B187" s="122" t="s">
        <v>472</v>
      </c>
    </row>
    <row r="188" spans="2:2">
      <c r="B188" s="122" t="s">
        <v>473</v>
      </c>
    </row>
    <row r="189" spans="2:2">
      <c r="B189" s="123"/>
    </row>
    <row r="190" spans="2:2">
      <c r="B190" s="122" t="s">
        <v>474</v>
      </c>
    </row>
    <row r="191" spans="2:2">
      <c r="B191" s="123"/>
    </row>
    <row r="192" spans="2:2">
      <c r="B192" s="122" t="s">
        <v>475</v>
      </c>
    </row>
    <row r="193" spans="2:2">
      <c r="B193" s="122" t="s">
        <v>476</v>
      </c>
    </row>
    <row r="194" spans="2:2">
      <c r="B194" s="122" t="s">
        <v>477</v>
      </c>
    </row>
    <row r="195" spans="2:2">
      <c r="B195" s="123"/>
    </row>
    <row r="196" spans="2:2">
      <c r="B196" s="122" t="s">
        <v>478</v>
      </c>
    </row>
    <row r="197" spans="2:2">
      <c r="B197" s="123"/>
    </row>
    <row r="198" spans="2:2">
      <c r="B198" s="122" t="s">
        <v>479</v>
      </c>
    </row>
    <row r="199" spans="2:2">
      <c r="B199" s="122" t="s">
        <v>480</v>
      </c>
    </row>
    <row r="200" spans="2:2">
      <c r="B200" s="122" t="s">
        <v>481</v>
      </c>
    </row>
    <row r="201" spans="2:2">
      <c r="B201" s="122" t="s">
        <v>482</v>
      </c>
    </row>
    <row r="202" spans="2:2">
      <c r="B202" s="122" t="s">
        <v>483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32A05-E3D2-424A-9811-85C95FBCCAB1}">
  <sheetPr codeName="Sheet23"/>
  <dimension ref="A1:B19"/>
  <sheetViews>
    <sheetView showGridLines="0" workbookViewId="0">
      <selection activeCell="B6" sqref="B6"/>
    </sheetView>
  </sheetViews>
  <sheetFormatPr defaultRowHeight="14.5"/>
  <cols>
    <col min="1" max="1" width="1.36328125" customWidth="1"/>
  </cols>
  <sheetData>
    <row r="1" spans="1:2">
      <c r="A1" t="str" cm="1">
        <f t="array" aca="1" ref="A1" ca="1">CELL("filename",A1)</f>
        <v>C:\Sync\git_hub\vba_samplicity\[01_magnus_premres.xlsm]Index</v>
      </c>
    </row>
    <row r="2" spans="1:2">
      <c r="A2" s="14" t="s">
        <v>256</v>
      </c>
    </row>
    <row r="3" spans="1:2">
      <c r="A3" s="14" t="s">
        <v>141</v>
      </c>
    </row>
    <row r="5" spans="1:2">
      <c r="B5" s="26" t="s">
        <v>184</v>
      </c>
    </row>
    <row r="6" spans="1:2">
      <c r="B6" s="48" t="s">
        <v>183</v>
      </c>
    </row>
    <row r="10" spans="1:2">
      <c r="B10" s="26" t="s">
        <v>185</v>
      </c>
    </row>
    <row r="11" spans="1:2">
      <c r="B11" s="48" t="s">
        <v>81</v>
      </c>
    </row>
    <row r="14" spans="1:2">
      <c r="B14" s="26" t="s">
        <v>262</v>
      </c>
    </row>
    <row r="15" spans="1:2">
      <c r="B15" s="48" t="s">
        <v>81</v>
      </c>
    </row>
    <row r="18" spans="2:2">
      <c r="B18" s="26" t="s">
        <v>186</v>
      </c>
    </row>
    <row r="19" spans="2:2">
      <c r="B19" s="48" t="s">
        <v>186</v>
      </c>
    </row>
  </sheetData>
  <hyperlinks>
    <hyperlink ref="B6" location="prem_res!A1" display="Premium and Reserve Risk Inputs" xr:uid="{1521B3C1-3AA4-4115-A1EB-DF8CD8219024}"/>
    <hyperlink ref="B11" location="PremRes!A1" display="Premium and Reserve Risk" xr:uid="{18B531B3-376F-4060-BEA6-3DAAFBDAAABC}"/>
    <hyperlink ref="B19" location="metadata!A1" display="Metadata" xr:uid="{9292FDA6-30BC-43F0-A7F8-E06F1E584DF5}"/>
    <hyperlink ref="B15" location="Summary!A1" display="Premium and Reserve Risk" xr:uid="{E040DB68-39FD-40E0-B521-CAB6A5FB7C8D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5985-0FC7-4547-82B5-B6721DC20FFE}">
  <sheetPr codeName="Sheet36"/>
  <dimension ref="A1:B38"/>
  <sheetViews>
    <sheetView showGridLines="0" topLeftCell="A16" workbookViewId="0">
      <selection activeCell="B29" sqref="B29"/>
    </sheetView>
  </sheetViews>
  <sheetFormatPr defaultRowHeight="14.5"/>
  <cols>
    <col min="1" max="1" width="1.36328125" customWidth="1"/>
  </cols>
  <sheetData>
    <row r="1" spans="1:2">
      <c r="A1" t="str" cm="1">
        <f t="array" aca="1" ref="A1" ca="1">CELL("filename",A1)</f>
        <v>C:\Sync\git_hub\vba_samplicity\[01_magnus_premres.xlsm]Notes</v>
      </c>
    </row>
    <row r="2" spans="1:2">
      <c r="A2" s="14" t="s">
        <v>256</v>
      </c>
    </row>
    <row r="3" spans="1:2">
      <c r="A3" s="14" t="s">
        <v>305</v>
      </c>
    </row>
    <row r="5" spans="1:2">
      <c r="B5" t="s">
        <v>306</v>
      </c>
    </row>
    <row r="6" spans="1:2">
      <c r="B6" s="38" t="s">
        <v>496</v>
      </c>
    </row>
    <row r="7" spans="1:2">
      <c r="B7" t="s">
        <v>513</v>
      </c>
    </row>
    <row r="9" spans="1:2">
      <c r="B9" s="14" t="s">
        <v>497</v>
      </c>
    </row>
    <row r="10" spans="1:2">
      <c r="B10" t="s">
        <v>514</v>
      </c>
    </row>
    <row r="11" spans="1:2">
      <c r="B11" t="s">
        <v>498</v>
      </c>
    </row>
    <row r="12" spans="1:2">
      <c r="B12" s="26" t="s">
        <v>508</v>
      </c>
    </row>
    <row r="14" spans="1:2">
      <c r="B14" s="14" t="s">
        <v>503</v>
      </c>
    </row>
    <row r="15" spans="1:2">
      <c r="B15" t="s">
        <v>504</v>
      </c>
    </row>
    <row r="16" spans="1:2">
      <c r="B16" s="38" t="s">
        <v>188</v>
      </c>
    </row>
    <row r="17" spans="2:2">
      <c r="B17" s="127" t="s">
        <v>515</v>
      </c>
    </row>
    <row r="19" spans="2:2">
      <c r="B19" s="14" t="s">
        <v>184</v>
      </c>
    </row>
    <row r="20" spans="2:2">
      <c r="B20" t="s">
        <v>516</v>
      </c>
    </row>
    <row r="21" spans="2:2">
      <c r="B21" t="s">
        <v>517</v>
      </c>
    </row>
    <row r="23" spans="2:2">
      <c r="B23" s="14" t="s">
        <v>185</v>
      </c>
    </row>
    <row r="24" spans="2:2">
      <c r="B24" t="s">
        <v>518</v>
      </c>
    </row>
    <row r="26" spans="2:2">
      <c r="B26" s="14" t="s">
        <v>499</v>
      </c>
    </row>
    <row r="27" spans="2:2">
      <c r="B27" t="s">
        <v>519</v>
      </c>
    </row>
    <row r="28" spans="2:2">
      <c r="B28" t="s">
        <v>520</v>
      </c>
    </row>
    <row r="29" spans="2:2">
      <c r="B29" t="s">
        <v>510</v>
      </c>
    </row>
    <row r="30" spans="2:2">
      <c r="B30" t="s">
        <v>509</v>
      </c>
    </row>
    <row r="32" spans="2:2">
      <c r="B32" s="14" t="s">
        <v>500</v>
      </c>
    </row>
    <row r="33" spans="2:2">
      <c r="B33" t="s">
        <v>511</v>
      </c>
    </row>
    <row r="34" spans="2:2">
      <c r="B34" t="s">
        <v>501</v>
      </c>
    </row>
    <row r="36" spans="2:2">
      <c r="B36" s="14" t="s">
        <v>186</v>
      </c>
    </row>
    <row r="37" spans="2:2">
      <c r="B37" t="s">
        <v>512</v>
      </c>
    </row>
    <row r="38" spans="2:2">
      <c r="B38" t="s">
        <v>502</v>
      </c>
    </row>
  </sheetData>
  <hyperlinks>
    <hyperlink ref="B6" r:id="rId1" xr:uid="{D9ADC99E-9985-4BA7-893A-68B2D5ECC204}"/>
    <hyperlink ref="B16" r:id="rId2" xr:uid="{29431E47-051C-4C7E-B046-7FFD8C63EA2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77BBB-B20A-46D1-A3BB-AA0F3A35AF13}">
  <sheetPr codeName="Sheet24">
    <tabColor rgb="FFFFFFCC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0A7B1-2563-47EB-B19A-83A608000FE2}">
  <sheetPr codeName="Sheet1"/>
  <dimension ref="A1:AE49"/>
  <sheetViews>
    <sheetView workbookViewId="0">
      <selection activeCell="B6" sqref="B6:B24"/>
    </sheetView>
  </sheetViews>
  <sheetFormatPr defaultRowHeight="14.5"/>
  <cols>
    <col min="1" max="1" width="1.6328125" customWidth="1"/>
    <col min="2" max="2" width="13" customWidth="1"/>
    <col min="3" max="3" width="13.81640625" customWidth="1"/>
    <col min="4" max="4" width="10.26953125" customWidth="1"/>
    <col min="6" max="6" width="13.453125" bestFit="1" customWidth="1"/>
    <col min="7" max="7" width="13.36328125" customWidth="1"/>
    <col min="8" max="8" width="16.08984375" customWidth="1"/>
    <col min="9" max="9" width="17.7265625" customWidth="1"/>
    <col min="10" max="10" width="16.26953125" customWidth="1"/>
    <col min="11" max="12" width="13" customWidth="1"/>
    <col min="13" max="13" width="10.1796875" bestFit="1" customWidth="1"/>
    <col min="14" max="14" width="19.1796875" customWidth="1"/>
    <col min="15" max="15" width="14.36328125" customWidth="1"/>
    <col min="16" max="16" width="16" customWidth="1"/>
    <col min="17" max="17" width="14.453125" customWidth="1"/>
    <col min="18" max="19" width="11.1796875" customWidth="1"/>
    <col min="20" max="20" width="18.54296875" customWidth="1"/>
    <col min="21" max="21" width="15.7265625" customWidth="1"/>
    <col min="22" max="22" width="15.54296875" customWidth="1"/>
    <col min="23" max="23" width="14.1796875" customWidth="1"/>
    <col min="24" max="24" width="8.7265625" customWidth="1"/>
    <col min="25" max="26" width="30.453125" customWidth="1"/>
    <col min="27" max="27" width="19.54296875" customWidth="1"/>
  </cols>
  <sheetData>
    <row r="1" spans="1:31">
      <c r="A1" t="str" cm="1">
        <f t="array" aca="1" ref="A1" ca="1">CELL("filename",A1)</f>
        <v>C:\Sync\git_hub\vba_samplicity\[01_magnus_premres.xlsm]prem_res</v>
      </c>
    </row>
    <row r="2" spans="1:31">
      <c r="A2" s="14" t="s">
        <v>256</v>
      </c>
    </row>
    <row r="3" spans="1:31">
      <c r="A3" s="14" t="s">
        <v>183</v>
      </c>
    </row>
    <row r="5" spans="1:31">
      <c r="B5" s="63" t="s">
        <v>0</v>
      </c>
      <c r="C5" s="64" t="s">
        <v>96</v>
      </c>
      <c r="D5" s="65" t="s">
        <v>1</v>
      </c>
      <c r="E5" s="65" t="s">
        <v>2</v>
      </c>
      <c r="F5" s="65" t="s">
        <v>3</v>
      </c>
      <c r="G5" s="65" t="s">
        <v>4</v>
      </c>
      <c r="H5" s="65" t="s">
        <v>5</v>
      </c>
      <c r="I5" s="65" t="s">
        <v>6</v>
      </c>
      <c r="J5" s="65" t="s">
        <v>7</v>
      </c>
      <c r="K5" s="65" t="s">
        <v>8</v>
      </c>
      <c r="L5" s="65" t="s">
        <v>9</v>
      </c>
      <c r="M5" s="65" t="s">
        <v>10</v>
      </c>
      <c r="N5" s="65" t="s">
        <v>11</v>
      </c>
      <c r="O5" s="65" t="s">
        <v>12</v>
      </c>
      <c r="P5" s="65" t="s">
        <v>13</v>
      </c>
      <c r="Q5" s="65" t="s">
        <v>14</v>
      </c>
      <c r="R5" s="65" t="s">
        <v>15</v>
      </c>
      <c r="S5" s="65" t="s">
        <v>16</v>
      </c>
      <c r="T5" s="65" t="s">
        <v>17</v>
      </c>
      <c r="U5" s="65" t="s">
        <v>181</v>
      </c>
      <c r="V5" s="65" t="s">
        <v>18</v>
      </c>
      <c r="W5" s="66" t="s">
        <v>19</v>
      </c>
      <c r="Y5" s="63" t="s">
        <v>18</v>
      </c>
      <c r="Z5" s="64" t="s">
        <v>36</v>
      </c>
      <c r="AA5" s="84" t="s">
        <v>37</v>
      </c>
    </row>
    <row r="6" spans="1:31">
      <c r="B6" s="59" t="s">
        <v>240</v>
      </c>
      <c r="C6" s="17" t="s">
        <v>244</v>
      </c>
      <c r="D6" s="17" t="s">
        <v>20</v>
      </c>
      <c r="E6" s="17" t="s">
        <v>21</v>
      </c>
      <c r="F6" s="46">
        <v>3608361</v>
      </c>
      <c r="G6" s="46">
        <v>3572277.39</v>
      </c>
      <c r="H6" s="46">
        <v>2100</v>
      </c>
      <c r="I6" s="46">
        <v>5454</v>
      </c>
      <c r="J6" s="46"/>
      <c r="K6" s="46">
        <v>1623762.45</v>
      </c>
      <c r="L6" s="46"/>
      <c r="M6" s="46">
        <v>1804180.5</v>
      </c>
      <c r="N6" s="46">
        <v>1786138.6950000001</v>
      </c>
      <c r="O6" s="46">
        <v>1050</v>
      </c>
      <c r="P6" s="46">
        <v>0</v>
      </c>
      <c r="Q6" s="46">
        <v>0</v>
      </c>
      <c r="R6" s="46">
        <v>811881.22499999998</v>
      </c>
      <c r="S6" s="46"/>
      <c r="T6" s="17" t="s">
        <v>22</v>
      </c>
      <c r="U6" s="17" t="s">
        <v>23</v>
      </c>
      <c r="V6" s="17" t="s">
        <v>24</v>
      </c>
      <c r="W6" s="61" t="s">
        <v>25</v>
      </c>
      <c r="Y6" s="59" t="s">
        <v>24</v>
      </c>
      <c r="Z6" s="17" t="s">
        <v>234</v>
      </c>
      <c r="AA6" s="82">
        <v>0.25</v>
      </c>
    </row>
    <row r="7" spans="1:31">
      <c r="B7" s="60" t="s">
        <v>241</v>
      </c>
      <c r="C7" s="18" t="s">
        <v>245</v>
      </c>
      <c r="D7" s="18" t="s">
        <v>20</v>
      </c>
      <c r="E7" s="18" t="s">
        <v>38</v>
      </c>
      <c r="F7" s="43">
        <v>-3290419</v>
      </c>
      <c r="G7" s="43">
        <v>3027185.48</v>
      </c>
      <c r="H7" s="43">
        <v>2100</v>
      </c>
      <c r="I7" s="43"/>
      <c r="J7" s="43"/>
      <c r="K7" s="43">
        <v>921317.32000000007</v>
      </c>
      <c r="L7" s="43"/>
      <c r="M7" s="43">
        <v>-3290419</v>
      </c>
      <c r="N7" s="43">
        <v>3027185.48</v>
      </c>
      <c r="O7" s="43">
        <v>2100</v>
      </c>
      <c r="P7" s="43">
        <v>0</v>
      </c>
      <c r="Q7" s="43">
        <v>0</v>
      </c>
      <c r="R7" s="43">
        <v>921317.32000000007</v>
      </c>
      <c r="S7" s="43"/>
      <c r="T7" s="18" t="s">
        <v>22</v>
      </c>
      <c r="U7" s="18" t="s">
        <v>23</v>
      </c>
      <c r="V7" s="18"/>
      <c r="W7" s="62" t="s">
        <v>25</v>
      </c>
      <c r="Y7" s="60" t="s">
        <v>24</v>
      </c>
      <c r="Z7" s="18" t="s">
        <v>235</v>
      </c>
      <c r="AA7" s="83">
        <v>0.2</v>
      </c>
      <c r="AE7" t="e" vm="1">
        <f>_xleta.T</f>
        <v>#VALUE!</v>
      </c>
    </row>
    <row r="8" spans="1:31">
      <c r="B8" s="89" t="s">
        <v>242</v>
      </c>
      <c r="C8" s="18" t="s">
        <v>246</v>
      </c>
      <c r="D8" s="18" t="s">
        <v>72</v>
      </c>
      <c r="E8" s="18" t="s">
        <v>39</v>
      </c>
      <c r="F8" s="43">
        <v>3162038</v>
      </c>
      <c r="G8" s="43">
        <v>3509862.18</v>
      </c>
      <c r="H8" s="43">
        <v>2000</v>
      </c>
      <c r="I8" s="43"/>
      <c r="J8" s="43">
        <v>85</v>
      </c>
      <c r="K8" s="43">
        <v>1264815.2000000002</v>
      </c>
      <c r="L8" s="43"/>
      <c r="M8" s="43">
        <v>1581019</v>
      </c>
      <c r="N8" s="43">
        <v>1754931.09</v>
      </c>
      <c r="O8" s="43">
        <v>1000</v>
      </c>
      <c r="P8" s="43">
        <v>0</v>
      </c>
      <c r="Q8" s="43">
        <v>0</v>
      </c>
      <c r="R8" s="43">
        <v>632407.60000000009</v>
      </c>
      <c r="S8" s="43"/>
      <c r="T8" s="18" t="s">
        <v>22</v>
      </c>
      <c r="U8" s="18" t="s">
        <v>23</v>
      </c>
      <c r="V8" s="18" t="s">
        <v>24</v>
      </c>
      <c r="W8" s="62" t="s">
        <v>26</v>
      </c>
      <c r="Y8" s="60" t="s">
        <v>35</v>
      </c>
      <c r="Z8" s="18" t="s">
        <v>235</v>
      </c>
      <c r="AA8" s="83">
        <v>0.05</v>
      </c>
    </row>
    <row r="9" spans="1:31">
      <c r="B9" s="90" t="s">
        <v>240</v>
      </c>
      <c r="C9" s="18" t="s">
        <v>247</v>
      </c>
      <c r="D9" s="18" t="s">
        <v>20</v>
      </c>
      <c r="E9" s="18" t="s">
        <v>40</v>
      </c>
      <c r="F9" s="43">
        <v>4161925</v>
      </c>
      <c r="G9" s="43">
        <v>3995448</v>
      </c>
      <c r="H9" s="43">
        <v>2900</v>
      </c>
      <c r="I9" s="43"/>
      <c r="J9" s="43"/>
      <c r="K9" s="43">
        <v>1623150.75</v>
      </c>
      <c r="L9" s="43"/>
      <c r="M9" s="43">
        <v>3537636.25</v>
      </c>
      <c r="N9" s="43">
        <v>3396130.8</v>
      </c>
      <c r="O9" s="43">
        <v>2465</v>
      </c>
      <c r="P9" s="43">
        <v>0</v>
      </c>
      <c r="Q9" s="43">
        <v>0</v>
      </c>
      <c r="R9" s="43">
        <v>1379678.1375</v>
      </c>
      <c r="S9" s="43"/>
      <c r="T9" s="18" t="s">
        <v>22</v>
      </c>
      <c r="U9" s="18" t="s">
        <v>23</v>
      </c>
      <c r="V9" s="18" t="s">
        <v>35</v>
      </c>
      <c r="W9" s="62" t="s">
        <v>26</v>
      </c>
      <c r="Y9" s="60" t="s">
        <v>35</v>
      </c>
      <c r="Z9" s="18" t="s">
        <v>236</v>
      </c>
      <c r="AA9" s="83">
        <v>0.09</v>
      </c>
    </row>
    <row r="10" spans="1:31">
      <c r="B10" s="90" t="s">
        <v>242</v>
      </c>
      <c r="C10" s="18" t="s">
        <v>248</v>
      </c>
      <c r="D10" s="18" t="s">
        <v>72</v>
      </c>
      <c r="E10" s="18" t="s">
        <v>21</v>
      </c>
      <c r="F10" s="43">
        <v>4503698</v>
      </c>
      <c r="G10" s="43">
        <v>4503698</v>
      </c>
      <c r="H10" s="43">
        <v>2900</v>
      </c>
      <c r="I10" s="43"/>
      <c r="J10" s="43"/>
      <c r="K10" s="43">
        <v>2026664.1</v>
      </c>
      <c r="L10" s="43"/>
      <c r="M10" s="43">
        <v>4503698</v>
      </c>
      <c r="N10" s="43">
        <v>4503698</v>
      </c>
      <c r="O10" s="43">
        <v>2900</v>
      </c>
      <c r="P10" s="43">
        <v>0</v>
      </c>
      <c r="Q10" s="43">
        <v>0</v>
      </c>
      <c r="R10" s="43">
        <v>2026664.1</v>
      </c>
      <c r="S10" s="43"/>
      <c r="T10" s="18" t="s">
        <v>22</v>
      </c>
      <c r="U10" s="18" t="s">
        <v>23</v>
      </c>
      <c r="V10" s="18"/>
      <c r="W10" s="62"/>
      <c r="Y10" s="60" t="s">
        <v>27</v>
      </c>
      <c r="Z10" s="18" t="s">
        <v>237</v>
      </c>
      <c r="AA10" s="83">
        <v>0.95</v>
      </c>
    </row>
    <row r="11" spans="1:31">
      <c r="B11" s="90" t="s">
        <v>243</v>
      </c>
      <c r="C11" s="18" t="s">
        <v>245</v>
      </c>
      <c r="D11" s="18" t="s">
        <v>20</v>
      </c>
      <c r="E11" s="18" t="s">
        <v>42</v>
      </c>
      <c r="F11" s="43">
        <v>2264437</v>
      </c>
      <c r="G11" s="43">
        <v>1947415.82</v>
      </c>
      <c r="H11" s="43">
        <v>3500</v>
      </c>
      <c r="I11" s="43">
        <v>454</v>
      </c>
      <c r="J11" s="43"/>
      <c r="K11" s="43">
        <v>747264.21000000008</v>
      </c>
      <c r="L11" s="43"/>
      <c r="M11" s="43">
        <v>2264437</v>
      </c>
      <c r="N11" s="43">
        <v>1947415.82</v>
      </c>
      <c r="O11" s="43">
        <v>3500</v>
      </c>
      <c r="P11" s="43">
        <v>0</v>
      </c>
      <c r="Q11" s="43">
        <v>0</v>
      </c>
      <c r="R11" s="43">
        <v>747264.21000000008</v>
      </c>
      <c r="S11" s="43"/>
      <c r="T11" s="18" t="s">
        <v>23</v>
      </c>
      <c r="U11" s="18" t="s">
        <v>23</v>
      </c>
      <c r="V11" s="18"/>
      <c r="W11" s="62"/>
      <c r="Y11" s="60" t="s">
        <v>29</v>
      </c>
      <c r="Z11" s="18" t="s">
        <v>234</v>
      </c>
      <c r="AA11" s="83">
        <v>0.95</v>
      </c>
    </row>
    <row r="12" spans="1:31">
      <c r="B12" s="90" t="s">
        <v>242</v>
      </c>
      <c r="C12" s="18" t="s">
        <v>246</v>
      </c>
      <c r="D12" s="18" t="s">
        <v>20</v>
      </c>
      <c r="E12" s="18" t="s">
        <v>43</v>
      </c>
      <c r="F12" s="43">
        <v>3854965</v>
      </c>
      <c r="G12" s="43">
        <v>3893514.65</v>
      </c>
      <c r="H12" s="43">
        <v>2100</v>
      </c>
      <c r="I12" s="43"/>
      <c r="J12" s="43"/>
      <c r="K12" s="43">
        <v>1580535.65</v>
      </c>
      <c r="L12" s="43"/>
      <c r="M12" s="43">
        <v>1927482.5</v>
      </c>
      <c r="N12" s="43">
        <v>1946757.325</v>
      </c>
      <c r="O12" s="43">
        <v>1050</v>
      </c>
      <c r="P12" s="43">
        <v>0</v>
      </c>
      <c r="Q12" s="43">
        <v>0</v>
      </c>
      <c r="R12" s="43">
        <v>790267.82499999995</v>
      </c>
      <c r="S12" s="43"/>
      <c r="T12" s="18" t="s">
        <v>23</v>
      </c>
      <c r="U12" s="18" t="s">
        <v>23</v>
      </c>
      <c r="V12" s="18" t="s">
        <v>24</v>
      </c>
      <c r="W12" s="62"/>
      <c r="Y12" s="60" t="s">
        <v>30</v>
      </c>
      <c r="Z12" s="18" t="s">
        <v>238</v>
      </c>
      <c r="AA12" s="83">
        <v>0.95</v>
      </c>
    </row>
    <row r="13" spans="1:31">
      <c r="B13" s="90" t="s">
        <v>240</v>
      </c>
      <c r="C13" s="18" t="s">
        <v>247</v>
      </c>
      <c r="D13" s="18" t="s">
        <v>72</v>
      </c>
      <c r="E13" s="18" t="s">
        <v>44</v>
      </c>
      <c r="F13" s="43">
        <v>4966421</v>
      </c>
      <c r="G13" s="43">
        <v>5065749.42</v>
      </c>
      <c r="H13" s="43">
        <v>2000</v>
      </c>
      <c r="I13" s="43"/>
      <c r="J13" s="43"/>
      <c r="K13" s="43">
        <v>1440262.0899999999</v>
      </c>
      <c r="L13" s="43"/>
      <c r="M13" s="43">
        <v>4966421</v>
      </c>
      <c r="N13" s="43">
        <v>5065749.42</v>
      </c>
      <c r="O13" s="43">
        <v>2000</v>
      </c>
      <c r="P13" s="43">
        <v>0</v>
      </c>
      <c r="Q13" s="43">
        <v>0</v>
      </c>
      <c r="R13" s="43">
        <v>1440262.0899999999</v>
      </c>
      <c r="S13" s="43"/>
      <c r="T13" s="18" t="s">
        <v>23</v>
      </c>
      <c r="U13" s="18" t="s">
        <v>23</v>
      </c>
      <c r="V13" s="18"/>
      <c r="W13" s="62"/>
      <c r="Y13" s="60" t="s">
        <v>31</v>
      </c>
      <c r="Z13" s="18" t="s">
        <v>235</v>
      </c>
      <c r="AA13" s="83">
        <v>0.95</v>
      </c>
    </row>
    <row r="14" spans="1:31">
      <c r="B14" s="90" t="s">
        <v>242</v>
      </c>
      <c r="C14" s="18" t="s">
        <v>248</v>
      </c>
      <c r="D14" s="18" t="s">
        <v>20</v>
      </c>
      <c r="E14" s="18" t="s">
        <v>45</v>
      </c>
      <c r="F14" s="43">
        <v>1419290</v>
      </c>
      <c r="G14" s="43">
        <v>1263168.1000000001</v>
      </c>
      <c r="H14" s="43">
        <v>2900</v>
      </c>
      <c r="I14" s="43">
        <v>545</v>
      </c>
      <c r="J14" s="43"/>
      <c r="K14" s="43">
        <v>383208.30000000005</v>
      </c>
      <c r="L14" s="43"/>
      <c r="M14" s="43">
        <v>1419290</v>
      </c>
      <c r="N14" s="43">
        <v>1263168.1000000001</v>
      </c>
      <c r="O14" s="43">
        <v>2900</v>
      </c>
      <c r="P14" s="43"/>
      <c r="Q14" s="43"/>
      <c r="R14" s="43">
        <v>383208.30000000005</v>
      </c>
      <c r="S14" s="43"/>
      <c r="T14" s="18" t="s">
        <v>23</v>
      </c>
      <c r="U14" s="18" t="s">
        <v>23</v>
      </c>
      <c r="V14" s="18"/>
      <c r="W14" s="62"/>
      <c r="Y14" s="60" t="s">
        <v>32</v>
      </c>
      <c r="Z14" s="18" t="s">
        <v>235</v>
      </c>
      <c r="AA14" s="83">
        <v>0.95</v>
      </c>
    </row>
    <row r="15" spans="1:31">
      <c r="B15" s="90" t="s">
        <v>240</v>
      </c>
      <c r="C15" s="18" t="s">
        <v>246</v>
      </c>
      <c r="D15" s="18" t="s">
        <v>20</v>
      </c>
      <c r="E15" s="18" t="s">
        <v>46</v>
      </c>
      <c r="F15" s="43">
        <v>1923942</v>
      </c>
      <c r="G15" s="43">
        <v>2212533.2999999998</v>
      </c>
      <c r="H15" s="43">
        <v>2900</v>
      </c>
      <c r="I15" s="43"/>
      <c r="J15" s="43"/>
      <c r="K15" s="43">
        <v>634900.86</v>
      </c>
      <c r="L15" s="43"/>
      <c r="M15" s="43">
        <v>1923942</v>
      </c>
      <c r="N15" s="43">
        <v>2212533.2999999998</v>
      </c>
      <c r="O15" s="43">
        <v>2900</v>
      </c>
      <c r="P15" s="43"/>
      <c r="Q15" s="43"/>
      <c r="R15" s="43">
        <v>634900.86</v>
      </c>
      <c r="S15" s="43"/>
      <c r="T15" s="18" t="s">
        <v>23</v>
      </c>
      <c r="U15" s="18" t="s">
        <v>23</v>
      </c>
      <c r="V15" s="18"/>
      <c r="W15" s="62"/>
      <c r="Y15" s="60" t="s">
        <v>33</v>
      </c>
      <c r="Z15" s="18" t="s">
        <v>236</v>
      </c>
      <c r="AA15" s="83">
        <v>0.95</v>
      </c>
    </row>
    <row r="16" spans="1:31">
      <c r="B16" s="90" t="s">
        <v>241</v>
      </c>
      <c r="C16" s="18" t="s">
        <v>247</v>
      </c>
      <c r="D16" s="18" t="s">
        <v>72</v>
      </c>
      <c r="E16" s="18" t="s">
        <v>47</v>
      </c>
      <c r="F16" s="43">
        <v>4000313</v>
      </c>
      <c r="G16" s="43">
        <v>-3644812</v>
      </c>
      <c r="H16" s="43">
        <v>3500</v>
      </c>
      <c r="I16" s="43"/>
      <c r="J16" s="43"/>
      <c r="K16" s="43">
        <v>1800140.85</v>
      </c>
      <c r="L16" s="43"/>
      <c r="M16" s="43">
        <v>3400266.05</v>
      </c>
      <c r="N16" s="43">
        <v>3060239.4450000003</v>
      </c>
      <c r="O16" s="43">
        <v>2975</v>
      </c>
      <c r="P16" s="43"/>
      <c r="Q16" s="43"/>
      <c r="R16" s="43">
        <v>1530119.7225000001</v>
      </c>
      <c r="S16" s="43"/>
      <c r="T16" s="18" t="s">
        <v>23</v>
      </c>
      <c r="U16" s="18" t="s">
        <v>23</v>
      </c>
      <c r="V16" s="18" t="s">
        <v>35</v>
      </c>
      <c r="W16" s="62"/>
      <c r="Y16" s="60" t="s">
        <v>28</v>
      </c>
      <c r="Z16" s="18" t="s">
        <v>237</v>
      </c>
      <c r="AA16" s="83">
        <v>0.95</v>
      </c>
    </row>
    <row r="17" spans="2:27">
      <c r="B17" s="90" t="s">
        <v>242</v>
      </c>
      <c r="C17" s="18" t="s">
        <v>248</v>
      </c>
      <c r="D17" s="18" t="s">
        <v>20</v>
      </c>
      <c r="E17" s="18" t="s">
        <v>48</v>
      </c>
      <c r="F17" s="43">
        <v>1652831</v>
      </c>
      <c r="G17" s="43">
        <v>1669359.31</v>
      </c>
      <c r="H17" s="43">
        <v>2100</v>
      </c>
      <c r="I17" s="43"/>
      <c r="J17" s="43">
        <v>895</v>
      </c>
      <c r="K17" s="43">
        <v>462792.68000000005</v>
      </c>
      <c r="L17" s="43"/>
      <c r="M17" s="43">
        <v>1652831</v>
      </c>
      <c r="N17" s="43">
        <v>1669359.31</v>
      </c>
      <c r="O17" s="43">
        <v>2100</v>
      </c>
      <c r="P17" s="43"/>
      <c r="Q17" s="43"/>
      <c r="R17" s="43">
        <v>462792.68000000005</v>
      </c>
      <c r="S17" s="43"/>
      <c r="T17" s="18" t="s">
        <v>23</v>
      </c>
      <c r="U17" s="18" t="s">
        <v>23</v>
      </c>
      <c r="V17" s="18"/>
      <c r="W17" s="62"/>
      <c r="Y17" s="67" t="s">
        <v>34</v>
      </c>
      <c r="Z17" s="68" t="s">
        <v>239</v>
      </c>
      <c r="AA17" s="85">
        <v>0.95</v>
      </c>
    </row>
    <row r="18" spans="2:27">
      <c r="B18" s="90" t="s">
        <v>240</v>
      </c>
      <c r="C18" s="18" t="s">
        <v>249</v>
      </c>
      <c r="D18" s="18" t="s">
        <v>20</v>
      </c>
      <c r="E18" s="18" t="s">
        <v>49</v>
      </c>
      <c r="F18" s="43">
        <v>4988704</v>
      </c>
      <c r="G18" s="43">
        <v>5188252.16</v>
      </c>
      <c r="H18" s="43">
        <v>2900</v>
      </c>
      <c r="I18" s="43"/>
      <c r="J18" s="43"/>
      <c r="K18" s="43">
        <v>2195029.7600000002</v>
      </c>
      <c r="L18" s="43"/>
      <c r="M18" s="43">
        <v>4988704</v>
      </c>
      <c r="N18" s="43">
        <v>5188252.16</v>
      </c>
      <c r="O18" s="43">
        <v>2900</v>
      </c>
      <c r="P18" s="43"/>
      <c r="Q18" s="43"/>
      <c r="R18" s="43">
        <v>2195029.7600000002</v>
      </c>
      <c r="S18" s="43"/>
      <c r="T18" s="18" t="s">
        <v>23</v>
      </c>
      <c r="U18" s="18" t="s">
        <v>23</v>
      </c>
      <c r="V18" s="18"/>
      <c r="W18" s="62"/>
    </row>
    <row r="19" spans="2:27">
      <c r="B19" s="90" t="s">
        <v>240</v>
      </c>
      <c r="C19" s="18" t="s">
        <v>250</v>
      </c>
      <c r="D19" s="18" t="s">
        <v>20</v>
      </c>
      <c r="E19" s="18" t="s">
        <v>50</v>
      </c>
      <c r="F19" s="43">
        <v>2834586</v>
      </c>
      <c r="G19" s="43">
        <v>2749548.42</v>
      </c>
      <c r="H19" s="43">
        <v>2900</v>
      </c>
      <c r="I19" s="43"/>
      <c r="J19" s="43"/>
      <c r="K19" s="43">
        <v>1218871.98</v>
      </c>
      <c r="L19" s="43"/>
      <c r="M19" s="43">
        <v>1417293</v>
      </c>
      <c r="N19" s="43">
        <v>1374774.21</v>
      </c>
      <c r="O19" s="43">
        <v>1450</v>
      </c>
      <c r="P19" s="43"/>
      <c r="Q19" s="43"/>
      <c r="R19" s="43">
        <v>609435.99</v>
      </c>
      <c r="S19" s="43"/>
      <c r="T19" s="18" t="s">
        <v>23</v>
      </c>
      <c r="U19" s="18" t="s">
        <v>23</v>
      </c>
      <c r="V19" s="18" t="s">
        <v>24</v>
      </c>
      <c r="W19" s="62"/>
    </row>
    <row r="20" spans="2:27">
      <c r="B20" s="90" t="s">
        <v>241</v>
      </c>
      <c r="C20" s="18" t="s">
        <v>251</v>
      </c>
      <c r="D20" s="18" t="s">
        <v>20</v>
      </c>
      <c r="E20" s="18" t="s">
        <v>51</v>
      </c>
      <c r="F20" s="43">
        <v>2687528</v>
      </c>
      <c r="G20" s="43">
        <v>2741278.56</v>
      </c>
      <c r="H20" s="43">
        <v>3500</v>
      </c>
      <c r="I20" s="43"/>
      <c r="J20" s="43"/>
      <c r="K20" s="43">
        <v>940634.79999999993</v>
      </c>
      <c r="L20" s="43"/>
      <c r="M20" s="43">
        <v>2687528</v>
      </c>
      <c r="N20" s="43">
        <v>2741278.56</v>
      </c>
      <c r="O20" s="43">
        <v>3500</v>
      </c>
      <c r="P20" s="43"/>
      <c r="Q20" s="43"/>
      <c r="R20" s="43">
        <v>940634.79999999993</v>
      </c>
      <c r="S20" s="43"/>
      <c r="T20" s="18" t="s">
        <v>23</v>
      </c>
      <c r="U20" s="18" t="s">
        <v>23</v>
      </c>
      <c r="V20" s="18"/>
      <c r="W20" s="62"/>
    </row>
    <row r="21" spans="2:27">
      <c r="B21" s="90" t="s">
        <v>242</v>
      </c>
      <c r="C21" s="18" t="s">
        <v>249</v>
      </c>
      <c r="D21" s="18" t="s">
        <v>72</v>
      </c>
      <c r="E21" s="18" t="s">
        <v>52</v>
      </c>
      <c r="F21" s="43">
        <v>-3598</v>
      </c>
      <c r="G21" s="43">
        <v>3054866.44</v>
      </c>
      <c r="H21" s="43">
        <v>2100</v>
      </c>
      <c r="I21" s="43">
        <v>-4587</v>
      </c>
      <c r="J21" s="43"/>
      <c r="K21" s="43">
        <v>896536.89</v>
      </c>
      <c r="L21" s="43"/>
      <c r="M21" s="43">
        <v>3320507</v>
      </c>
      <c r="N21" s="43">
        <v>3054866.44</v>
      </c>
      <c r="O21" s="43">
        <v>2100</v>
      </c>
      <c r="P21" s="43"/>
      <c r="Q21" s="43"/>
      <c r="R21" s="43">
        <v>896536.89</v>
      </c>
      <c r="S21" s="43"/>
      <c r="T21" s="18" t="s">
        <v>23</v>
      </c>
      <c r="U21" s="18" t="s">
        <v>23</v>
      </c>
      <c r="V21" s="18"/>
      <c r="W21" s="62"/>
    </row>
    <row r="22" spans="2:27">
      <c r="B22" s="90" t="s">
        <v>240</v>
      </c>
      <c r="C22" s="18" t="s">
        <v>250</v>
      </c>
      <c r="D22" s="18" t="s">
        <v>20</v>
      </c>
      <c r="E22" s="18" t="s">
        <v>53</v>
      </c>
      <c r="F22" s="43">
        <v>4552967</v>
      </c>
      <c r="G22" s="43">
        <v>5008263.7</v>
      </c>
      <c r="H22" s="43">
        <v>2000</v>
      </c>
      <c r="I22" s="43"/>
      <c r="J22" s="43"/>
      <c r="K22" s="43">
        <v>1320360.43</v>
      </c>
      <c r="L22" s="43"/>
      <c r="M22" s="43">
        <v>4552967</v>
      </c>
      <c r="N22" s="43">
        <v>5008263.7</v>
      </c>
      <c r="O22" s="43">
        <v>2000</v>
      </c>
      <c r="P22" s="43"/>
      <c r="Q22" s="43"/>
      <c r="R22" s="43">
        <v>1320360.43</v>
      </c>
      <c r="S22" s="43"/>
      <c r="T22" s="18" t="s">
        <v>23</v>
      </c>
      <c r="U22" s="18" t="s">
        <v>23</v>
      </c>
      <c r="V22" s="18"/>
      <c r="W22" s="62"/>
    </row>
    <row r="23" spans="2:27">
      <c r="B23" s="90" t="s">
        <v>242</v>
      </c>
      <c r="C23" s="18" t="s">
        <v>251</v>
      </c>
      <c r="D23" s="18" t="s">
        <v>20</v>
      </c>
      <c r="E23" s="18" t="s">
        <v>73</v>
      </c>
      <c r="F23" s="43">
        <v>2853066</v>
      </c>
      <c r="G23" s="43">
        <v>2710412.6999999997</v>
      </c>
      <c r="H23" s="43">
        <v>2900</v>
      </c>
      <c r="I23" s="43"/>
      <c r="J23" s="43"/>
      <c r="K23" s="43">
        <v>970042.44000000006</v>
      </c>
      <c r="L23" s="43"/>
      <c r="M23" s="43">
        <v>2425106.1</v>
      </c>
      <c r="N23" s="43">
        <v>2303850.7949999999</v>
      </c>
      <c r="O23" s="43">
        <v>2465</v>
      </c>
      <c r="P23" s="43"/>
      <c r="Q23" s="43"/>
      <c r="R23" s="43">
        <v>824536.07400000002</v>
      </c>
      <c r="S23" s="43"/>
      <c r="T23" s="18" t="s">
        <v>23</v>
      </c>
      <c r="U23" s="18" t="s">
        <v>23</v>
      </c>
      <c r="V23" s="18" t="s">
        <v>35</v>
      </c>
      <c r="W23" s="62"/>
    </row>
    <row r="24" spans="2:27">
      <c r="B24" s="90" t="s">
        <v>240</v>
      </c>
      <c r="C24" s="18" t="s">
        <v>246</v>
      </c>
      <c r="D24" s="18" t="s">
        <v>72</v>
      </c>
      <c r="E24" s="18" t="s">
        <v>522</v>
      </c>
      <c r="F24" s="43">
        <v>1392662</v>
      </c>
      <c r="G24" s="43">
        <v>1309102.28</v>
      </c>
      <c r="H24" s="43">
        <v>2900</v>
      </c>
      <c r="I24" s="43"/>
      <c r="J24" s="43"/>
      <c r="K24" s="43">
        <v>431725.22</v>
      </c>
      <c r="L24" s="43"/>
      <c r="M24" s="43">
        <v>1392662</v>
      </c>
      <c r="N24" s="43">
        <v>1309102.28</v>
      </c>
      <c r="O24" s="43">
        <v>2900</v>
      </c>
      <c r="P24" s="43"/>
      <c r="Q24" s="43"/>
      <c r="R24" s="43">
        <v>431725.22</v>
      </c>
      <c r="S24" s="43"/>
      <c r="T24" s="18" t="s">
        <v>23</v>
      </c>
      <c r="U24" s="18" t="s">
        <v>23</v>
      </c>
      <c r="V24" s="18"/>
      <c r="W24" s="62"/>
    </row>
    <row r="25" spans="2:27">
      <c r="B25" s="90" t="s">
        <v>241</v>
      </c>
      <c r="C25" s="18" t="s">
        <v>248</v>
      </c>
      <c r="D25" s="18" t="s">
        <v>20</v>
      </c>
      <c r="E25" s="18" t="s">
        <v>55</v>
      </c>
      <c r="F25" s="43">
        <v>4508123</v>
      </c>
      <c r="G25" s="43">
        <v>5094178.9899999993</v>
      </c>
      <c r="H25" s="43">
        <v>3500</v>
      </c>
      <c r="I25" s="43"/>
      <c r="J25" s="43"/>
      <c r="K25" s="43">
        <v>1758167.97</v>
      </c>
      <c r="L25" s="43"/>
      <c r="M25" s="43">
        <v>2254061.5</v>
      </c>
      <c r="N25" s="43">
        <v>2547089.4949999996</v>
      </c>
      <c r="O25" s="43">
        <v>1750</v>
      </c>
      <c r="P25" s="43"/>
      <c r="Q25" s="43"/>
      <c r="R25" s="43">
        <v>879083.98499999999</v>
      </c>
      <c r="S25" s="43"/>
      <c r="T25" s="18" t="s">
        <v>23</v>
      </c>
      <c r="U25" s="18" t="s">
        <v>23</v>
      </c>
      <c r="V25" s="18" t="s">
        <v>24</v>
      </c>
      <c r="W25" s="62"/>
    </row>
    <row r="26" spans="2:27">
      <c r="B26" s="90" t="s">
        <v>242</v>
      </c>
      <c r="C26" s="18" t="s">
        <v>246</v>
      </c>
      <c r="D26" s="18" t="s">
        <v>20</v>
      </c>
      <c r="E26" s="18" t="s">
        <v>56</v>
      </c>
      <c r="F26" s="43">
        <v>-25189</v>
      </c>
      <c r="G26" s="43">
        <v>-12058941</v>
      </c>
      <c r="H26" s="43">
        <v>2100</v>
      </c>
      <c r="I26" s="43">
        <v>59321</v>
      </c>
      <c r="J26" s="43">
        <v>45236</v>
      </c>
      <c r="K26" s="43">
        <v>855570.69000000006</v>
      </c>
      <c r="L26" s="43"/>
      <c r="M26" s="43">
        <v>2193771</v>
      </c>
      <c r="N26" s="43">
        <v>2084082.45</v>
      </c>
      <c r="O26" s="43">
        <v>2100</v>
      </c>
      <c r="P26" s="43"/>
      <c r="Q26" s="43"/>
      <c r="R26" s="43">
        <v>855570.69000000006</v>
      </c>
      <c r="S26" s="43"/>
      <c r="T26" s="18" t="s">
        <v>23</v>
      </c>
      <c r="U26" s="18" t="s">
        <v>23</v>
      </c>
      <c r="V26" s="18"/>
      <c r="W26" s="62"/>
    </row>
    <row r="27" spans="2:27">
      <c r="B27" s="90" t="s">
        <v>240</v>
      </c>
      <c r="C27" s="18" t="s">
        <v>247</v>
      </c>
      <c r="D27" s="18" t="s">
        <v>20</v>
      </c>
      <c r="E27" s="18" t="s">
        <v>57</v>
      </c>
      <c r="F27" s="43">
        <v>3224030</v>
      </c>
      <c r="G27" s="43">
        <v>3546433.0000000005</v>
      </c>
      <c r="H27" s="43">
        <v>2900</v>
      </c>
      <c r="I27" s="43"/>
      <c r="J27" s="43"/>
      <c r="K27" s="43">
        <v>1096170.2000000002</v>
      </c>
      <c r="L27" s="43"/>
      <c r="M27" s="43">
        <v>3224030</v>
      </c>
      <c r="N27" s="43">
        <v>3546433.0000000005</v>
      </c>
      <c r="O27" s="43">
        <v>2900</v>
      </c>
      <c r="P27" s="43"/>
      <c r="Q27" s="43"/>
      <c r="R27" s="43">
        <v>1096170.2000000002</v>
      </c>
      <c r="S27" s="43"/>
      <c r="T27" s="18" t="s">
        <v>23</v>
      </c>
      <c r="U27" s="18" t="s">
        <v>23</v>
      </c>
      <c r="V27" s="18"/>
      <c r="W27" s="62"/>
    </row>
    <row r="28" spans="2:27">
      <c r="B28" s="90" t="s">
        <v>240</v>
      </c>
      <c r="C28" s="18" t="s">
        <v>248</v>
      </c>
      <c r="D28" s="18" t="s">
        <v>20</v>
      </c>
      <c r="E28" s="18" t="s">
        <v>58</v>
      </c>
      <c r="F28" s="43">
        <v>1179993</v>
      </c>
      <c r="G28" s="43">
        <v>1262592.51</v>
      </c>
      <c r="H28" s="43">
        <v>2900</v>
      </c>
      <c r="I28" s="43"/>
      <c r="J28" s="43"/>
      <c r="K28" s="43">
        <v>401197.62000000005</v>
      </c>
      <c r="L28" s="43"/>
      <c r="M28" s="43">
        <v>1179993</v>
      </c>
      <c r="N28" s="43">
        <v>1262592.51</v>
      </c>
      <c r="O28" s="43">
        <v>2900</v>
      </c>
      <c r="P28" s="43"/>
      <c r="Q28" s="43"/>
      <c r="R28" s="43">
        <v>401197.62000000005</v>
      </c>
      <c r="S28" s="43"/>
      <c r="T28" s="18" t="s">
        <v>23</v>
      </c>
      <c r="U28" s="18" t="s">
        <v>23</v>
      </c>
      <c r="V28" s="18"/>
      <c r="W28" s="62"/>
    </row>
    <row r="29" spans="2:27">
      <c r="B29" s="90" t="s">
        <v>241</v>
      </c>
      <c r="C29" s="18" t="s">
        <v>249</v>
      </c>
      <c r="D29" s="18" t="s">
        <v>72</v>
      </c>
      <c r="E29" s="18" t="s">
        <v>59</v>
      </c>
      <c r="F29" s="43">
        <v>3338845</v>
      </c>
      <c r="G29" s="43">
        <v>3105125.85</v>
      </c>
      <c r="H29" s="43">
        <v>3500</v>
      </c>
      <c r="I29" s="43"/>
      <c r="J29" s="43"/>
      <c r="K29" s="43">
        <v>901488.15</v>
      </c>
      <c r="L29" s="43"/>
      <c r="M29" s="43">
        <v>1669422.5</v>
      </c>
      <c r="N29" s="43">
        <v>1552562.925</v>
      </c>
      <c r="O29" s="43">
        <v>1750</v>
      </c>
      <c r="P29" s="43"/>
      <c r="Q29" s="43"/>
      <c r="R29" s="43">
        <v>450744.07500000001</v>
      </c>
      <c r="S29" s="43"/>
      <c r="T29" s="18" t="s">
        <v>23</v>
      </c>
      <c r="U29" s="18" t="s">
        <v>23</v>
      </c>
      <c r="V29" s="18" t="s">
        <v>24</v>
      </c>
      <c r="W29" s="62"/>
    </row>
    <row r="30" spans="2:27">
      <c r="B30" s="90" t="s">
        <v>242</v>
      </c>
      <c r="C30" s="18" t="s">
        <v>250</v>
      </c>
      <c r="D30" s="18" t="s">
        <v>20</v>
      </c>
      <c r="E30" s="18" t="s">
        <v>60</v>
      </c>
      <c r="F30" s="43">
        <v>1129942</v>
      </c>
      <c r="G30" s="43">
        <v>1152540.8400000001</v>
      </c>
      <c r="H30" s="43">
        <v>2900</v>
      </c>
      <c r="I30" s="43"/>
      <c r="J30" s="43"/>
      <c r="K30" s="43">
        <v>406779.12</v>
      </c>
      <c r="L30" s="43"/>
      <c r="M30" s="43">
        <v>1129942</v>
      </c>
      <c r="N30" s="43">
        <v>1152540.8400000001</v>
      </c>
      <c r="O30" s="43">
        <v>2900</v>
      </c>
      <c r="P30" s="43"/>
      <c r="Q30" s="43"/>
      <c r="R30" s="43">
        <v>406779.12</v>
      </c>
      <c r="S30" s="43"/>
      <c r="T30" s="18" t="s">
        <v>23</v>
      </c>
      <c r="U30" s="18" t="s">
        <v>23</v>
      </c>
      <c r="V30" s="18"/>
      <c r="W30" s="62"/>
    </row>
    <row r="31" spans="2:27">
      <c r="B31" s="90" t="s">
        <v>240</v>
      </c>
      <c r="C31" s="18" t="s">
        <v>251</v>
      </c>
      <c r="D31" s="18" t="s">
        <v>79</v>
      </c>
      <c r="E31" s="18" t="s">
        <v>74</v>
      </c>
      <c r="F31" s="43">
        <v>1759529</v>
      </c>
      <c r="G31" s="43">
        <v>1548385.52</v>
      </c>
      <c r="H31" s="43">
        <v>2900</v>
      </c>
      <c r="I31" s="43"/>
      <c r="J31" s="43"/>
      <c r="K31" s="43">
        <v>721406.89</v>
      </c>
      <c r="L31" s="43"/>
      <c r="M31" s="43">
        <v>1495599.65</v>
      </c>
      <c r="N31" s="43">
        <v>1316127.692</v>
      </c>
      <c r="O31" s="43">
        <v>2465</v>
      </c>
      <c r="P31" s="43"/>
      <c r="Q31" s="43"/>
      <c r="R31" s="43">
        <v>613195.85649999999</v>
      </c>
      <c r="S31" s="43"/>
      <c r="T31" s="18" t="s">
        <v>23</v>
      </c>
      <c r="U31" s="18" t="s">
        <v>22</v>
      </c>
      <c r="V31" s="18" t="s">
        <v>35</v>
      </c>
      <c r="W31" s="62" t="s">
        <v>25</v>
      </c>
    </row>
    <row r="32" spans="2:27">
      <c r="B32" s="90" t="s">
        <v>240</v>
      </c>
      <c r="C32" s="18" t="s">
        <v>249</v>
      </c>
      <c r="D32" s="18" t="s">
        <v>79</v>
      </c>
      <c r="E32" s="18" t="s">
        <v>75</v>
      </c>
      <c r="F32" s="43">
        <v>1890951</v>
      </c>
      <c r="G32" s="43">
        <v>1947679.53</v>
      </c>
      <c r="H32" s="43">
        <v>3500</v>
      </c>
      <c r="I32" s="43"/>
      <c r="J32" s="43"/>
      <c r="K32" s="43">
        <v>794199.41999999993</v>
      </c>
      <c r="L32" s="43"/>
      <c r="M32" s="43">
        <v>1890951</v>
      </c>
      <c r="N32" s="43">
        <v>1947679.53</v>
      </c>
      <c r="O32" s="43">
        <v>3500</v>
      </c>
      <c r="P32" s="43"/>
      <c r="Q32" s="43"/>
      <c r="R32" s="43">
        <v>794199.41999999993</v>
      </c>
      <c r="S32" s="43"/>
      <c r="T32" s="18" t="s">
        <v>23</v>
      </c>
      <c r="U32" s="18" t="s">
        <v>22</v>
      </c>
      <c r="V32" s="18"/>
      <c r="W32" s="62"/>
    </row>
    <row r="33" spans="2:23">
      <c r="B33" s="90" t="s">
        <v>241</v>
      </c>
      <c r="C33" s="18" t="s">
        <v>248</v>
      </c>
      <c r="D33" s="18" t="s">
        <v>20</v>
      </c>
      <c r="E33" s="18" t="s">
        <v>76</v>
      </c>
      <c r="F33" s="43">
        <v>2676194</v>
      </c>
      <c r="G33" s="43">
        <v>2917051.4600000004</v>
      </c>
      <c r="H33" s="43">
        <v>2100</v>
      </c>
      <c r="I33" s="43"/>
      <c r="J33" s="43"/>
      <c r="K33" s="43">
        <v>1043715.66</v>
      </c>
      <c r="L33" s="43"/>
      <c r="M33" s="43">
        <v>1338097</v>
      </c>
      <c r="N33" s="43">
        <v>1458525.7300000002</v>
      </c>
      <c r="O33" s="43">
        <v>1050</v>
      </c>
      <c r="P33" s="43"/>
      <c r="Q33" s="43"/>
      <c r="R33" s="43">
        <v>521857.83</v>
      </c>
      <c r="S33" s="43"/>
      <c r="T33" s="18" t="s">
        <v>23</v>
      </c>
      <c r="U33" s="18" t="s">
        <v>23</v>
      </c>
      <c r="V33" s="18" t="s">
        <v>24</v>
      </c>
      <c r="W33" s="62"/>
    </row>
    <row r="34" spans="2:23">
      <c r="B34" s="90" t="s">
        <v>242</v>
      </c>
      <c r="C34" s="18" t="s">
        <v>249</v>
      </c>
      <c r="D34" s="18" t="s">
        <v>20</v>
      </c>
      <c r="E34" s="18" t="s">
        <v>77</v>
      </c>
      <c r="F34" s="43">
        <v>2965011</v>
      </c>
      <c r="G34" s="43">
        <v>2638859.79</v>
      </c>
      <c r="H34" s="43">
        <v>2000</v>
      </c>
      <c r="I34" s="43"/>
      <c r="J34" s="43"/>
      <c r="K34" s="43">
        <v>1037753.85</v>
      </c>
      <c r="L34" s="43"/>
      <c r="M34" s="43">
        <v>2965011</v>
      </c>
      <c r="N34" s="43">
        <v>2638859.79</v>
      </c>
      <c r="O34" s="43">
        <v>2000</v>
      </c>
      <c r="P34" s="43"/>
      <c r="Q34" s="43"/>
      <c r="R34" s="43">
        <v>1037753.85</v>
      </c>
      <c r="S34" s="43"/>
      <c r="T34" s="18" t="s">
        <v>23</v>
      </c>
      <c r="U34" s="18" t="s">
        <v>23</v>
      </c>
      <c r="V34" s="18"/>
      <c r="W34" s="62"/>
    </row>
    <row r="35" spans="2:23">
      <c r="B35" s="90" t="s">
        <v>240</v>
      </c>
      <c r="C35" s="18" t="s">
        <v>250</v>
      </c>
      <c r="D35" s="18" t="s">
        <v>20</v>
      </c>
      <c r="E35" s="18" t="s">
        <v>78</v>
      </c>
      <c r="F35" s="43">
        <v>3483517</v>
      </c>
      <c r="G35" s="43">
        <v>3448681.83</v>
      </c>
      <c r="H35" s="43">
        <v>2100</v>
      </c>
      <c r="I35" s="43"/>
      <c r="J35" s="43"/>
      <c r="K35" s="43">
        <v>1184395.78</v>
      </c>
      <c r="L35" s="43"/>
      <c r="M35" s="43">
        <v>2960989.4499999997</v>
      </c>
      <c r="N35" s="43">
        <v>2931379.5554999998</v>
      </c>
      <c r="O35" s="43">
        <v>1785</v>
      </c>
      <c r="P35" s="43"/>
      <c r="Q35" s="43"/>
      <c r="R35" s="43">
        <v>1006736.4129999999</v>
      </c>
      <c r="S35" s="43"/>
      <c r="T35" s="18" t="s">
        <v>23</v>
      </c>
      <c r="U35" s="18" t="s">
        <v>23</v>
      </c>
      <c r="V35" s="18" t="s">
        <v>35</v>
      </c>
      <c r="W35" s="62"/>
    </row>
    <row r="36" spans="2:23">
      <c r="B36" s="90" t="s">
        <v>242</v>
      </c>
      <c r="C36" s="18" t="s">
        <v>251</v>
      </c>
      <c r="D36" s="18" t="s">
        <v>20</v>
      </c>
      <c r="E36" s="18" t="s">
        <v>61</v>
      </c>
      <c r="F36" s="43">
        <v>1419003</v>
      </c>
      <c r="G36" s="43">
        <v>1461573.09</v>
      </c>
      <c r="H36" s="43">
        <v>2900</v>
      </c>
      <c r="I36" s="43"/>
      <c r="J36" s="43"/>
      <c r="K36" s="43">
        <v>624361.31999999995</v>
      </c>
      <c r="L36" s="43"/>
      <c r="M36" s="43">
        <v>1419003</v>
      </c>
      <c r="N36" s="43">
        <v>1461573.09</v>
      </c>
      <c r="O36" s="43">
        <v>2900</v>
      </c>
      <c r="P36" s="43"/>
      <c r="Q36" s="43"/>
      <c r="R36" s="43">
        <v>624361.31999999995</v>
      </c>
      <c r="S36" s="43"/>
      <c r="T36" s="18" t="s">
        <v>23</v>
      </c>
      <c r="U36" s="18" t="s">
        <v>23</v>
      </c>
      <c r="V36" s="18"/>
      <c r="W36" s="62"/>
    </row>
    <row r="37" spans="2:23">
      <c r="B37" s="90" t="s">
        <v>240</v>
      </c>
      <c r="C37" s="18" t="s">
        <v>248</v>
      </c>
      <c r="D37" s="18" t="s">
        <v>507</v>
      </c>
      <c r="E37" s="18" t="s">
        <v>62</v>
      </c>
      <c r="F37" s="43">
        <v>3781747</v>
      </c>
      <c r="G37" s="43">
        <v>4159921.7</v>
      </c>
      <c r="H37" s="43">
        <v>2900</v>
      </c>
      <c r="I37" s="43"/>
      <c r="J37" s="43"/>
      <c r="K37" s="43">
        <v>1172341.57</v>
      </c>
      <c r="L37" s="43"/>
      <c r="M37" s="43">
        <v>3781747</v>
      </c>
      <c r="N37" s="43">
        <v>4159921.7</v>
      </c>
      <c r="O37" s="43">
        <v>2900</v>
      </c>
      <c r="P37" s="43"/>
      <c r="Q37" s="43"/>
      <c r="R37" s="43">
        <v>1172341.57</v>
      </c>
      <c r="S37" s="43"/>
      <c r="T37" s="18" t="s">
        <v>23</v>
      </c>
      <c r="U37" s="18" t="s">
        <v>23</v>
      </c>
      <c r="V37" s="18"/>
      <c r="W37" s="62"/>
    </row>
    <row r="38" spans="2:23">
      <c r="B38" s="60" t="s">
        <v>242</v>
      </c>
      <c r="C38" s="18" t="s">
        <v>246</v>
      </c>
      <c r="D38" s="18" t="s">
        <v>79</v>
      </c>
      <c r="E38" s="18" t="s">
        <v>63</v>
      </c>
      <c r="F38" s="43">
        <v>3328489</v>
      </c>
      <c r="G38" s="43">
        <v>3395058.7800000003</v>
      </c>
      <c r="H38" s="43">
        <v>3500</v>
      </c>
      <c r="I38" s="43"/>
      <c r="J38" s="43"/>
      <c r="K38" s="43">
        <v>1231540.93</v>
      </c>
      <c r="L38" s="43"/>
      <c r="M38" s="43">
        <v>2829215.65</v>
      </c>
      <c r="N38" s="43">
        <v>2885799.963</v>
      </c>
      <c r="O38" s="43">
        <v>2975</v>
      </c>
      <c r="P38" s="43"/>
      <c r="Q38" s="43"/>
      <c r="R38" s="43">
        <v>1046809.7904999999</v>
      </c>
      <c r="S38" s="43"/>
      <c r="T38" s="18" t="s">
        <v>23</v>
      </c>
      <c r="U38" s="18" t="s">
        <v>22</v>
      </c>
      <c r="V38" s="18" t="s">
        <v>35</v>
      </c>
      <c r="W38" s="62" t="s">
        <v>26</v>
      </c>
    </row>
    <row r="39" spans="2:23">
      <c r="B39" s="60" t="s">
        <v>240</v>
      </c>
      <c r="C39" s="18" t="s">
        <v>247</v>
      </c>
      <c r="D39" s="18" t="s">
        <v>80</v>
      </c>
      <c r="E39" s="18" t="s">
        <v>64</v>
      </c>
      <c r="F39" s="43">
        <v>2324524</v>
      </c>
      <c r="G39" s="43">
        <v>2115316.84</v>
      </c>
      <c r="H39" s="43">
        <v>2900</v>
      </c>
      <c r="I39" s="43"/>
      <c r="J39" s="43"/>
      <c r="K39" s="43">
        <v>650866.72000000009</v>
      </c>
      <c r="L39" s="43"/>
      <c r="M39" s="43">
        <v>2324524</v>
      </c>
      <c r="N39" s="43">
        <v>2115316.84</v>
      </c>
      <c r="O39" s="43">
        <v>2900</v>
      </c>
      <c r="P39" s="43"/>
      <c r="Q39" s="43"/>
      <c r="R39" s="43">
        <v>650866.72000000009</v>
      </c>
      <c r="S39" s="43"/>
      <c r="T39" s="18" t="s">
        <v>23</v>
      </c>
      <c r="U39" s="18" t="s">
        <v>23</v>
      </c>
      <c r="V39" s="18"/>
      <c r="W39" s="62"/>
    </row>
    <row r="40" spans="2:23">
      <c r="B40" s="60" t="s">
        <v>240</v>
      </c>
      <c r="C40" s="18" t="s">
        <v>244</v>
      </c>
      <c r="D40" s="18" t="s">
        <v>72</v>
      </c>
      <c r="E40" s="18" t="s">
        <v>65</v>
      </c>
      <c r="F40" s="43">
        <v>3529986</v>
      </c>
      <c r="G40" s="43">
        <v>3459386.28</v>
      </c>
      <c r="H40" s="43">
        <v>2900</v>
      </c>
      <c r="I40" s="43"/>
      <c r="J40" s="43"/>
      <c r="K40" s="43">
        <v>1306094.82</v>
      </c>
      <c r="L40" s="43"/>
      <c r="M40" s="43">
        <v>1764993</v>
      </c>
      <c r="N40" s="43">
        <v>1729693.14</v>
      </c>
      <c r="O40" s="43">
        <v>1450</v>
      </c>
      <c r="P40" s="43"/>
      <c r="Q40" s="43"/>
      <c r="R40" s="43">
        <v>653047.41</v>
      </c>
      <c r="S40" s="43"/>
      <c r="T40" s="18" t="s">
        <v>23</v>
      </c>
      <c r="U40" s="18" t="s">
        <v>23</v>
      </c>
      <c r="V40" s="18" t="s">
        <v>24</v>
      </c>
      <c r="W40" s="62"/>
    </row>
    <row r="41" spans="2:23">
      <c r="B41" s="60"/>
      <c r="C41" s="18"/>
      <c r="D41" s="18"/>
      <c r="E41" s="18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18"/>
      <c r="U41" s="18"/>
      <c r="V41" s="18"/>
      <c r="W41" s="62"/>
    </row>
    <row r="42" spans="2:23">
      <c r="B42" s="60"/>
      <c r="C42" s="18"/>
      <c r="D42" s="18"/>
      <c r="E42" s="18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18"/>
      <c r="U42" s="18"/>
      <c r="V42" s="18"/>
      <c r="W42" s="62"/>
    </row>
    <row r="43" spans="2:23">
      <c r="B43" s="60"/>
      <c r="C43" s="18"/>
      <c r="D43" s="18"/>
      <c r="E43" s="18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18"/>
      <c r="U43" s="18"/>
      <c r="V43" s="18"/>
      <c r="W43" s="62"/>
    </row>
    <row r="44" spans="2:23">
      <c r="B44" s="60"/>
      <c r="C44" s="18"/>
      <c r="D44" s="18"/>
      <c r="E44" s="18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18"/>
      <c r="U44" s="18"/>
      <c r="V44" s="18"/>
      <c r="W44" s="62"/>
    </row>
    <row r="45" spans="2:23">
      <c r="B45" s="67"/>
      <c r="C45" s="68"/>
      <c r="D45" s="68"/>
      <c r="E45" s="68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8"/>
      <c r="U45" s="68"/>
      <c r="V45" s="68"/>
      <c r="W45" s="70"/>
    </row>
    <row r="48" spans="2:23">
      <c r="F48" s="23">
        <f>F31*metadata!$I$20</f>
        <v>3079175.75</v>
      </c>
      <c r="G48" s="23">
        <f>G31*metadata!$I$20</f>
        <v>2709674.66</v>
      </c>
    </row>
    <row r="49" spans="6:7">
      <c r="F49" s="23">
        <f>F38*metadata!$I$21</f>
        <v>3761192.57</v>
      </c>
      <c r="G49" s="23">
        <f>G38*metadata!$I$21</f>
        <v>3836416.4213999999</v>
      </c>
    </row>
  </sheetData>
  <pageMargins left="0.7" right="0.7" top="0.75" bottom="0.75" header="0.3" footer="0.3"/>
  <headerFooter>
    <oddFooter>&amp;C_x000D_&amp;1#&amp;"Calibri"&amp;10&amp;K000000 Control Disclosure</oddFooter>
  </headerFooter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0BC88-F9DB-4C82-BA67-63CFCA91896F}">
  <sheetPr codeName="Sheet26">
    <tabColor theme="7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13A4-72AB-40ED-8CE7-304EB1502CA8}">
  <sheetPr codeName="Sheet4"/>
  <dimension ref="A1:N223"/>
  <sheetViews>
    <sheetView tabSelected="1" workbookViewId="0">
      <selection activeCell="L18" sqref="A18:L19"/>
    </sheetView>
  </sheetViews>
  <sheetFormatPr defaultRowHeight="14.5"/>
  <cols>
    <col min="1" max="1" width="1.6328125" customWidth="1"/>
    <col min="2" max="2" width="26.1796875" customWidth="1"/>
    <col min="3" max="4" width="14.1796875" bestFit="1" customWidth="1"/>
    <col min="5" max="6" width="20.7265625" bestFit="1" customWidth="1"/>
    <col min="7" max="7" width="14.1796875" bestFit="1" customWidth="1"/>
    <col min="8" max="8" width="1.36328125" customWidth="1"/>
    <col min="9" max="9" width="13.90625" bestFit="1" customWidth="1"/>
    <col min="10" max="10" width="14.26953125" bestFit="1" customWidth="1"/>
    <col min="11" max="13" width="19.54296875" customWidth="1"/>
    <col min="14" max="14" width="10.81640625" style="10" bestFit="1" customWidth="1"/>
  </cols>
  <sheetData>
    <row r="1" spans="1:14">
      <c r="A1" t="str" cm="1">
        <f t="array" aca="1" ref="A1" ca="1">CELL("filename",A1)</f>
        <v>C:\Sync\git_hub\vba_samplicity\[01_magnus_premres.xlsm]PremRes</v>
      </c>
    </row>
    <row r="2" spans="1:14">
      <c r="A2" s="14" t="s">
        <v>256</v>
      </c>
    </row>
    <row r="3" spans="1:14">
      <c r="A3" s="14" t="s">
        <v>81</v>
      </c>
    </row>
    <row r="5" spans="1:14">
      <c r="B5" s="130" t="s">
        <v>506</v>
      </c>
      <c r="C5" s="131"/>
      <c r="D5" s="131"/>
      <c r="E5" s="131"/>
      <c r="F5" s="131"/>
      <c r="G5" s="132"/>
      <c r="I5" s="130" t="s">
        <v>505</v>
      </c>
      <c r="J5" s="131"/>
      <c r="K5" s="131"/>
      <c r="L5" s="131"/>
      <c r="M5" s="131"/>
      <c r="N5" s="132"/>
    </row>
    <row r="7" spans="1:14">
      <c r="B7" s="128" t="str" cm="1">
        <f t="array" ref="B7:G208">PremRes(rPremRes,rShare,2)</f>
        <v>division level</v>
      </c>
      <c r="C7" s="128" t="str">
        <v>division value</v>
      </c>
      <c r="D7" s="128" t="str">
        <v>peril</v>
      </c>
      <c r="E7" s="128" t="str">
        <v>value group</v>
      </c>
      <c r="F7" s="128" t="str">
        <v>value type</v>
      </c>
      <c r="G7" s="128" t="str">
        <v>value</v>
      </c>
      <c r="I7" s="128" t="str" cm="1">
        <f t="array" ref="I7:N25">PremRes(rPremRes,rShare,0)</f>
        <v>division level</v>
      </c>
      <c r="J7" s="128" t="str">
        <v>division value</v>
      </c>
      <c r="K7" s="128" t="str">
        <v>peril</v>
      </c>
      <c r="L7" s="128" t="str">
        <v>value group</v>
      </c>
      <c r="M7" s="128" t="str">
        <v>value type</v>
      </c>
      <c r="N7" s="128" t="str">
        <v>value</v>
      </c>
    </row>
    <row r="8" spans="1:14">
      <c r="B8" s="95" t="str">
        <v>__overall__</v>
      </c>
      <c r="C8" s="95" t="str">
        <v>__overall__</v>
      </c>
      <c r="D8" s="91" t="str">
        <v>overall</v>
      </c>
      <c r="E8" s="91" t="str">
        <v>gross charge</v>
      </c>
      <c r="F8" s="91" t="str">
        <v>gross charge</v>
      </c>
      <c r="G8" s="91">
        <v>26819186.856737494</v>
      </c>
      <c r="I8" s="3" t="str">
        <v>__overall__</v>
      </c>
      <c r="J8" s="3" t="str">
        <v>__overall__</v>
      </c>
      <c r="K8" s="3" t="str">
        <v>overall</v>
      </c>
      <c r="L8" s="3" t="str">
        <v>gross charge</v>
      </c>
      <c r="M8" s="3" t="str">
        <v>gross charge</v>
      </c>
      <c r="N8" s="12">
        <v>26819186.856737494</v>
      </c>
    </row>
    <row r="9" spans="1:14">
      <c r="B9" s="93" t="str">
        <v>__overall__</v>
      </c>
      <c r="C9" s="93" t="str">
        <v>__overall__</v>
      </c>
      <c r="D9" s="92" t="str">
        <v>overall</v>
      </c>
      <c r="E9" s="92" t="str">
        <v>net charge</v>
      </c>
      <c r="F9" s="92" t="str">
        <v>net charge</v>
      </c>
      <c r="G9" s="92">
        <v>23162167.347506128</v>
      </c>
      <c r="I9" s="4" t="str">
        <v>__overall__</v>
      </c>
      <c r="J9" s="4" t="str">
        <v>__overall__</v>
      </c>
      <c r="K9" s="4" t="str">
        <v>overall</v>
      </c>
      <c r="L9" s="4" t="str">
        <v>net charge</v>
      </c>
      <c r="M9" s="4" t="str">
        <v>net charge</v>
      </c>
      <c r="N9" s="13">
        <v>23162167.347506128</v>
      </c>
    </row>
    <row r="10" spans="1:14">
      <c r="B10" s="93" t="str">
        <v>__overall__</v>
      </c>
      <c r="C10" s="93" t="str">
        <v>__overall__</v>
      </c>
      <c r="D10" s="92" t="str">
        <v>overall</v>
      </c>
      <c r="E10" s="92" t="str">
        <v>calculated net charge</v>
      </c>
      <c r="F10" s="92" t="str">
        <v>calculated net charge</v>
      </c>
      <c r="G10" s="92">
        <v>23121389.475048162</v>
      </c>
      <c r="I10" s="4" t="str">
        <v>__overall__</v>
      </c>
      <c r="J10" s="4" t="str">
        <v>__overall__</v>
      </c>
      <c r="K10" s="4" t="str">
        <v>overall</v>
      </c>
      <c r="L10" s="4" t="str">
        <v>calculated net charge</v>
      </c>
      <c r="M10" s="4" t="str">
        <v>calculated net charge</v>
      </c>
      <c r="N10" s="13">
        <v>23121389.475048162</v>
      </c>
    </row>
    <row r="11" spans="1:14">
      <c r="B11" s="93" t="str">
        <v>__overall__</v>
      </c>
      <c r="C11" s="93" t="str">
        <v>__overall__</v>
      </c>
      <c r="D11" s="92" t="str">
        <v>overall</v>
      </c>
      <c r="E11" s="92" t="str">
        <v>counterparty</v>
      </c>
      <c r="F11" s="92" t="str">
        <v>company_a</v>
      </c>
      <c r="G11" s="92">
        <v>1583539.8473803401</v>
      </c>
      <c r="I11" s="4" t="str">
        <v>__overall__</v>
      </c>
      <c r="J11" s="4" t="str">
        <v>__overall__</v>
      </c>
      <c r="K11" s="4" t="str">
        <v>overall</v>
      </c>
      <c r="L11" s="4" t="str">
        <v>counterparty</v>
      </c>
      <c r="M11" s="4" t="str">
        <v>company_a</v>
      </c>
      <c r="N11" s="13">
        <v>1583539.8473803401</v>
      </c>
    </row>
    <row r="12" spans="1:14">
      <c r="B12" s="93" t="str">
        <v>__overall__</v>
      </c>
      <c r="C12" s="93" t="str">
        <v>__overall__</v>
      </c>
      <c r="D12" s="92" t="str">
        <v>overall</v>
      </c>
      <c r="E12" s="92" t="str">
        <v>counterparty</v>
      </c>
      <c r="F12" s="92" t="str">
        <v>company_b</v>
      </c>
      <c r="G12" s="92">
        <v>1560839.2699683122</v>
      </c>
      <c r="I12" s="4" t="str">
        <v>__overall__</v>
      </c>
      <c r="J12" s="4" t="str">
        <v>__overall__</v>
      </c>
      <c r="K12" s="4" t="str">
        <v>overall</v>
      </c>
      <c r="L12" s="4" t="str">
        <v>counterparty</v>
      </c>
      <c r="M12" s="4" t="str">
        <v>company_b</v>
      </c>
      <c r="N12" s="13">
        <v>1560839.2699683122</v>
      </c>
    </row>
    <row r="13" spans="1:14">
      <c r="B13" s="93" t="str">
        <v>__overall__</v>
      </c>
      <c r="C13" s="93" t="str">
        <v>__overall__</v>
      </c>
      <c r="D13" s="92" t="str">
        <v>overall</v>
      </c>
      <c r="E13" s="92" t="str">
        <v>counterparty</v>
      </c>
      <c r="F13" s="92" t="str">
        <v>company_c</v>
      </c>
      <c r="G13" s="92">
        <v>536905.23623025045</v>
      </c>
      <c r="I13" s="4" t="str">
        <v>__overall__</v>
      </c>
      <c r="J13" s="4" t="str">
        <v>__overall__</v>
      </c>
      <c r="K13" s="4" t="str">
        <v>overall</v>
      </c>
      <c r="L13" s="4" t="str">
        <v>counterparty</v>
      </c>
      <c r="M13" s="4" t="str">
        <v>company_c</v>
      </c>
      <c r="N13" s="13">
        <v>536905.23623025045</v>
      </c>
    </row>
    <row r="14" spans="1:14">
      <c r="B14" s="93" t="str">
        <v>level_1</v>
      </c>
      <c r="C14" s="93" t="str">
        <v>direct</v>
      </c>
      <c r="D14" s="92" t="str">
        <v>overall</v>
      </c>
      <c r="E14" s="92" t="str">
        <v>gross charge</v>
      </c>
      <c r="F14" s="92" t="str">
        <v>gross charge</v>
      </c>
      <c r="G14" s="92">
        <v>14725348.208060637</v>
      </c>
      <c r="I14" s="4" t="str">
        <v>__overall__</v>
      </c>
      <c r="J14" s="4" t="str">
        <v>__overall__</v>
      </c>
      <c r="K14" s="4" t="str">
        <v>premium</v>
      </c>
      <c r="L14" s="4" t="str">
        <v>gross charge</v>
      </c>
      <c r="M14" s="4" t="str">
        <v>gross charge</v>
      </c>
      <c r="N14" s="13">
        <v>21543413.259388551</v>
      </c>
    </row>
    <row r="15" spans="1:14">
      <c r="B15" s="93" t="str">
        <v>level_1</v>
      </c>
      <c r="C15" s="93" t="str">
        <v>direct</v>
      </c>
      <c r="D15" s="92" t="str">
        <v>overall</v>
      </c>
      <c r="E15" s="92" t="str">
        <v>net charge</v>
      </c>
      <c r="F15" s="92" t="str">
        <v>net charge</v>
      </c>
      <c r="G15" s="92">
        <v>13166346.451718971</v>
      </c>
      <c r="I15" s="4" t="str">
        <v>__overall__</v>
      </c>
      <c r="J15" s="4" t="str">
        <v>__overall__</v>
      </c>
      <c r="K15" s="4" t="str">
        <v>premium</v>
      </c>
      <c r="L15" s="4" t="str">
        <v>net charge</v>
      </c>
      <c r="M15" s="4" t="str">
        <v>net charge</v>
      </c>
      <c r="N15" s="13">
        <v>18827047.430338152</v>
      </c>
    </row>
    <row r="16" spans="1:14">
      <c r="B16" s="93" t="str">
        <v>level_1</v>
      </c>
      <c r="C16" s="93" t="str">
        <v>direct</v>
      </c>
      <c r="D16" s="92" t="str">
        <v>overall</v>
      </c>
      <c r="E16" s="92" t="str">
        <v>calculated net charge</v>
      </c>
      <c r="F16" s="92" t="str">
        <v>calculated net charge</v>
      </c>
      <c r="G16" s="92">
        <v>13304393.666804045</v>
      </c>
      <c r="I16" s="4" t="str">
        <v>__overall__</v>
      </c>
      <c r="J16" s="4" t="str">
        <v>__overall__</v>
      </c>
      <c r="K16" s="4" t="str">
        <v>premium</v>
      </c>
      <c r="L16" s="4" t="str">
        <v>calculated net charge</v>
      </c>
      <c r="M16" s="4" t="str">
        <v>calculated net charge</v>
      </c>
      <c r="N16" s="13">
        <v>18661487.138704251</v>
      </c>
    </row>
    <row r="17" spans="2:14">
      <c r="B17" s="93" t="str">
        <v>level_1</v>
      </c>
      <c r="C17" s="93" t="str">
        <v>direct</v>
      </c>
      <c r="D17" s="92" t="str">
        <v>overall</v>
      </c>
      <c r="E17" s="92" t="str">
        <v>counterparty</v>
      </c>
      <c r="F17" s="92" t="str">
        <v>company_a</v>
      </c>
      <c r="G17" s="92">
        <v>552028.08996660449</v>
      </c>
      <c r="I17" s="4" t="str">
        <v>__overall__</v>
      </c>
      <c r="J17" s="4" t="str">
        <v>__overall__</v>
      </c>
      <c r="K17" s="4" t="str">
        <v>premium</v>
      </c>
      <c r="L17" s="4" t="str">
        <v>counterparty</v>
      </c>
      <c r="M17" s="4" t="str">
        <v>company_a</v>
      </c>
      <c r="N17" s="13">
        <v>1233237.9094130695</v>
      </c>
    </row>
    <row r="18" spans="2:14">
      <c r="B18" s="93" t="str">
        <v>level_1</v>
      </c>
      <c r="C18" s="93" t="str">
        <v>direct</v>
      </c>
      <c r="D18" s="92" t="str">
        <v>overall</v>
      </c>
      <c r="E18" s="92" t="str">
        <v>counterparty</v>
      </c>
      <c r="F18" s="92" t="str">
        <v>company_b</v>
      </c>
      <c r="G18" s="92">
        <v>588488.66287380643</v>
      </c>
      <c r="I18" s="4" t="str">
        <v>__overall__</v>
      </c>
      <c r="J18" s="4" t="str">
        <v>__overall__</v>
      </c>
      <c r="K18" s="4" t="str">
        <v>premium</v>
      </c>
      <c r="L18" s="4" t="str">
        <v>counterparty</v>
      </c>
      <c r="M18" s="4" t="str">
        <v>company_b</v>
      </c>
      <c r="N18" s="13">
        <v>1216024.852110751</v>
      </c>
    </row>
    <row r="19" spans="2:14">
      <c r="B19" s="93" t="str">
        <v>level_1</v>
      </c>
      <c r="C19" s="93" t="str">
        <v>direct</v>
      </c>
      <c r="D19" s="92" t="str">
        <v>overall</v>
      </c>
      <c r="E19" s="92" t="str">
        <v>counterparty</v>
      </c>
      <c r="F19" s="92" t="str">
        <v>company_c</v>
      </c>
      <c r="G19" s="92">
        <v>269313.57883894816</v>
      </c>
      <c r="I19" s="4" t="str">
        <v>__overall__</v>
      </c>
      <c r="J19" s="4" t="str">
        <v>__overall__</v>
      </c>
      <c r="K19" s="4" t="str">
        <v>premium</v>
      </c>
      <c r="L19" s="4" t="str">
        <v>counterparty</v>
      </c>
      <c r="M19" s="4" t="str">
        <v>company_c</v>
      </c>
      <c r="N19" s="13">
        <v>418936.80645979196</v>
      </c>
    </row>
    <row r="20" spans="2:14">
      <c r="B20" s="93" t="str">
        <v>level_1</v>
      </c>
      <c r="C20" s="93" t="str">
        <v>intermediated</v>
      </c>
      <c r="D20" s="92" t="str">
        <v>overall</v>
      </c>
      <c r="E20" s="92" t="str">
        <v>gross charge</v>
      </c>
      <c r="F20" s="92" t="str">
        <v>gross charge</v>
      </c>
      <c r="G20" s="92">
        <v>5974814.5605519954</v>
      </c>
      <c r="I20" s="4" t="str">
        <v>__overall__</v>
      </c>
      <c r="J20" s="4" t="str">
        <v>__overall__</v>
      </c>
      <c r="K20" s="4" t="str">
        <v>reserve</v>
      </c>
      <c r="L20" s="4" t="str">
        <v>gross charge</v>
      </c>
      <c r="M20" s="4" t="str">
        <v>gross charge</v>
      </c>
      <c r="N20" s="13">
        <v>8348933.314350022</v>
      </c>
    </row>
    <row r="21" spans="2:14">
      <c r="B21" s="93" t="str">
        <v>level_1</v>
      </c>
      <c r="C21" s="93" t="str">
        <v>intermediated</v>
      </c>
      <c r="D21" s="92" t="str">
        <v>overall</v>
      </c>
      <c r="E21" s="92" t="str">
        <v>net charge</v>
      </c>
      <c r="F21" s="92" t="str">
        <v>net charge</v>
      </c>
      <c r="G21" s="92">
        <v>4213700.5997630376</v>
      </c>
      <c r="I21" s="4" t="str">
        <v>__overall__</v>
      </c>
      <c r="J21" s="4" t="str">
        <v>__overall__</v>
      </c>
      <c r="K21" s="4" t="str">
        <v>reserve</v>
      </c>
      <c r="L21" s="4" t="str">
        <v>net charge</v>
      </c>
      <c r="M21" s="4" t="str">
        <v>net charge</v>
      </c>
      <c r="N21" s="13">
        <v>6952944.639422195</v>
      </c>
    </row>
    <row r="22" spans="2:14">
      <c r="B22" s="93" t="str">
        <v>level_1</v>
      </c>
      <c r="C22" s="93" t="str">
        <v>intermediated</v>
      </c>
      <c r="D22" s="93" t="str">
        <v>overall</v>
      </c>
      <c r="E22" s="93" t="str">
        <v>calculated net charge</v>
      </c>
      <c r="F22" s="93" t="str">
        <v>calculated net charge</v>
      </c>
      <c r="G22" s="92">
        <v>4373052.8190186145</v>
      </c>
      <c r="I22" s="4" t="str">
        <v>__overall__</v>
      </c>
      <c r="J22" s="4" t="str">
        <v>__overall__</v>
      </c>
      <c r="K22" s="4" t="str">
        <v>reserve</v>
      </c>
      <c r="L22" s="4" t="str">
        <v>calculated net charge</v>
      </c>
      <c r="M22" s="4" t="str">
        <v>calculated net charge</v>
      </c>
      <c r="N22" s="13">
        <v>7080460.6933393553</v>
      </c>
    </row>
    <row r="23" spans="2:14">
      <c r="B23" s="93" t="str">
        <v>level_1</v>
      </c>
      <c r="C23" s="93" t="str">
        <v>intermediated</v>
      </c>
      <c r="D23" s="93" t="str">
        <v>overall</v>
      </c>
      <c r="E23" s="93" t="str">
        <v>counterparty</v>
      </c>
      <c r="F23" s="93" t="str">
        <v>company_a</v>
      </c>
      <c r="G23" s="92">
        <v>755078.17074071616</v>
      </c>
      <c r="I23" s="4" t="str">
        <v>__overall__</v>
      </c>
      <c r="J23" s="4" t="str">
        <v>__overall__</v>
      </c>
      <c r="K23" s="4" t="str">
        <v>reserve</v>
      </c>
      <c r="L23" s="4" t="str">
        <v>counterparty</v>
      </c>
      <c r="M23" s="4" t="str">
        <v>company_a</v>
      </c>
      <c r="N23" s="13">
        <v>542018.91335697845</v>
      </c>
    </row>
    <row r="24" spans="2:14">
      <c r="B24" s="93" t="str">
        <v>level_1</v>
      </c>
      <c r="C24" s="93" t="str">
        <v>intermediated</v>
      </c>
      <c r="D24" s="93" t="str">
        <v>overall</v>
      </c>
      <c r="E24" s="93" t="str">
        <v>counterparty</v>
      </c>
      <c r="F24" s="93" t="str">
        <v>company_b</v>
      </c>
      <c r="G24" s="92">
        <v>677100.37898569833</v>
      </c>
      <c r="I24" s="4" t="str">
        <v>__overall__</v>
      </c>
      <c r="J24" s="4" t="str">
        <v>__overall__</v>
      </c>
      <c r="K24" s="4" t="str">
        <v>reserve</v>
      </c>
      <c r="L24" s="4" t="str">
        <v>counterparty</v>
      </c>
      <c r="M24" s="4" t="str">
        <v>company_b</v>
      </c>
      <c r="N24" s="13">
        <v>535085.0132117169</v>
      </c>
    </row>
    <row r="25" spans="2:14">
      <c r="B25" s="93" t="str">
        <v>level_1</v>
      </c>
      <c r="C25" s="93" t="str">
        <v>intermediated</v>
      </c>
      <c r="D25" s="93" t="str">
        <v>overall</v>
      </c>
      <c r="E25" s="93" t="str">
        <v>counterparty</v>
      </c>
      <c r="F25" s="93" t="str">
        <v>company_c</v>
      </c>
      <c r="G25" s="92">
        <v>148318.36503052898</v>
      </c>
      <c r="I25" s="7" t="str">
        <v>__overall__</v>
      </c>
      <c r="J25" s="7" t="str">
        <v>__overall__</v>
      </c>
      <c r="K25" s="7" t="str">
        <v>reserve</v>
      </c>
      <c r="L25" s="7" t="str">
        <v>counterparty</v>
      </c>
      <c r="M25" s="7" t="str">
        <v>company_c</v>
      </c>
      <c r="N25" s="86">
        <v>185786.43910978548</v>
      </c>
    </row>
    <row r="26" spans="2:14">
      <c r="B26" s="93" t="str">
        <v>level_1</v>
      </c>
      <c r="C26" s="93" t="str">
        <v>partnerships</v>
      </c>
      <c r="D26" s="93" t="str">
        <v>overall</v>
      </c>
      <c r="E26" s="93" t="str">
        <v>gross charge</v>
      </c>
      <c r="F26" s="93" t="str">
        <v>gross charge</v>
      </c>
      <c r="G26" s="92">
        <v>799670.98199709656</v>
      </c>
    </row>
    <row r="27" spans="2:14">
      <c r="B27" s="93" t="str">
        <v>level_1</v>
      </c>
      <c r="C27" s="93" t="str">
        <v>partnerships</v>
      </c>
      <c r="D27" s="93" t="str">
        <v>overall</v>
      </c>
      <c r="E27" s="93" t="str">
        <v>net charge</v>
      </c>
      <c r="F27" s="93" t="str">
        <v>net charge</v>
      </c>
      <c r="G27" s="92">
        <v>799538.07364756695</v>
      </c>
    </row>
    <row r="28" spans="2:14">
      <c r="B28" s="93" t="str">
        <v>level_1</v>
      </c>
      <c r="C28" s="93" t="str">
        <v>partnerships</v>
      </c>
      <c r="D28" s="93" t="str">
        <v>overall</v>
      </c>
      <c r="E28" s="93" t="str">
        <v>calculated net charge</v>
      </c>
      <c r="F28" s="93" t="str">
        <v>calculated net charge</v>
      </c>
      <c r="G28" s="92">
        <v>799670.98199709656</v>
      </c>
    </row>
    <row r="29" spans="2:14">
      <c r="B29" s="93" t="str">
        <v>level_1</v>
      </c>
      <c r="C29" s="93" t="str">
        <v>specialised</v>
      </c>
      <c r="D29" s="93" t="str">
        <v>overall</v>
      </c>
      <c r="E29" s="93" t="str">
        <v>gross charge</v>
      </c>
      <c r="F29" s="93" t="str">
        <v>gross charge</v>
      </c>
      <c r="G29" s="92">
        <v>7346990.0228495374</v>
      </c>
    </row>
    <row r="30" spans="2:14">
      <c r="B30" s="93" t="str">
        <v>level_1</v>
      </c>
      <c r="C30" s="93" t="str">
        <v>specialised</v>
      </c>
      <c r="D30" s="93" t="str">
        <v>overall</v>
      </c>
      <c r="E30" s="93" t="str">
        <v>net charge</v>
      </c>
      <c r="F30" s="93" t="str">
        <v>net charge</v>
      </c>
      <c r="G30" s="92">
        <v>6710063.8357270118</v>
      </c>
    </row>
    <row r="31" spans="2:14">
      <c r="B31" s="93" t="str">
        <v>level_1</v>
      </c>
      <c r="C31" s="93" t="str">
        <v>specialised</v>
      </c>
      <c r="D31" s="93" t="str">
        <v>overall</v>
      </c>
      <c r="E31" s="93" t="str">
        <v>calculated net charge</v>
      </c>
      <c r="F31" s="93" t="str">
        <v>calculated net charge</v>
      </c>
      <c r="G31" s="92">
        <v>6352716.8541807383</v>
      </c>
    </row>
    <row r="32" spans="2:14">
      <c r="B32" s="93" t="str">
        <v>level_1</v>
      </c>
      <c r="C32" s="93" t="str">
        <v>specialised</v>
      </c>
      <c r="D32" s="93" t="str">
        <v>overall</v>
      </c>
      <c r="E32" s="93" t="str">
        <v>counterparty</v>
      </c>
      <c r="F32" s="93" t="str">
        <v>company_a</v>
      </c>
      <c r="G32" s="92">
        <v>392812.26468703337</v>
      </c>
    </row>
    <row r="33" spans="2:7">
      <c r="B33" s="93" t="str">
        <v>level_1</v>
      </c>
      <c r="C33" s="93" t="str">
        <v>specialised</v>
      </c>
      <c r="D33" s="93" t="str">
        <v>overall</v>
      </c>
      <c r="E33" s="93" t="str">
        <v>counterparty</v>
      </c>
      <c r="F33" s="93" t="str">
        <v>company_b</v>
      </c>
      <c r="G33" s="92">
        <v>409334.75601681881</v>
      </c>
    </row>
    <row r="34" spans="2:7">
      <c r="B34" s="93" t="str">
        <v>level_1</v>
      </c>
      <c r="C34" s="93" t="str">
        <v>specialised</v>
      </c>
      <c r="D34" s="93" t="str">
        <v>overall</v>
      </c>
      <c r="E34" s="93" t="str">
        <v>counterparty</v>
      </c>
      <c r="F34" s="93" t="str">
        <v>company_c</v>
      </c>
      <c r="G34" s="92">
        <v>178093.69620337337</v>
      </c>
    </row>
    <row r="35" spans="2:7">
      <c r="B35" s="93" t="str">
        <v>level_2</v>
      </c>
      <c r="C35" s="93" t="str">
        <v>gauteng</v>
      </c>
      <c r="D35" s="93" t="str">
        <v>overall</v>
      </c>
      <c r="E35" s="93" t="str">
        <v>gross charge</v>
      </c>
      <c r="F35" s="93" t="str">
        <v>gross charge</v>
      </c>
      <c r="G35" s="92">
        <v>2213874.1126166619</v>
      </c>
    </row>
    <row r="36" spans="2:7">
      <c r="B36" s="93" t="str">
        <v>level_2</v>
      </c>
      <c r="C36" s="93" t="str">
        <v>gauteng</v>
      </c>
      <c r="D36" s="93" t="str">
        <v>overall</v>
      </c>
      <c r="E36" s="93" t="str">
        <v>net charge</v>
      </c>
      <c r="F36" s="93" t="str">
        <v>net charge</v>
      </c>
      <c r="G36" s="92">
        <v>1106642.1412088098</v>
      </c>
    </row>
    <row r="37" spans="2:7">
      <c r="B37" s="93" t="str">
        <v>level_2</v>
      </c>
      <c r="C37" s="93" t="str">
        <v>gauteng</v>
      </c>
      <c r="D37" s="93" t="str">
        <v>overall</v>
      </c>
      <c r="E37" s="93" t="str">
        <v>calculated net charge</v>
      </c>
      <c r="F37" s="93" t="str">
        <v>calculated net charge</v>
      </c>
      <c r="G37" s="92">
        <v>1217630.761939164</v>
      </c>
    </row>
    <row r="38" spans="2:7">
      <c r="B38" s="93" t="str">
        <v>level_2</v>
      </c>
      <c r="C38" s="93" t="str">
        <v>gauteng</v>
      </c>
      <c r="D38" s="93" t="str">
        <v>overall</v>
      </c>
      <c r="E38" s="93" t="str">
        <v>counterparty</v>
      </c>
      <c r="F38" s="93" t="str">
        <v>company_a</v>
      </c>
      <c r="G38" s="92">
        <v>553468.52815416548</v>
      </c>
    </row>
    <row r="39" spans="2:7">
      <c r="B39" s="93" t="str">
        <v>level_2</v>
      </c>
      <c r="C39" s="93" t="str">
        <v>gauteng</v>
      </c>
      <c r="D39" s="93" t="str">
        <v>overall</v>
      </c>
      <c r="E39" s="93" t="str">
        <v>counterparty</v>
      </c>
      <c r="F39" s="93" t="str">
        <v>company_b</v>
      </c>
      <c r="G39" s="92">
        <v>442774.82252333243</v>
      </c>
    </row>
    <row r="40" spans="2:7">
      <c r="B40" s="93" t="str">
        <v>level_2</v>
      </c>
      <c r="C40" s="93" t="str">
        <v>kzn</v>
      </c>
      <c r="D40" s="93" t="str">
        <v>overall</v>
      </c>
      <c r="E40" s="93" t="str">
        <v>gross charge</v>
      </c>
      <c r="F40" s="93" t="str">
        <v>gross charge</v>
      </c>
      <c r="G40" s="92">
        <v>1219334.4418685799</v>
      </c>
    </row>
    <row r="41" spans="2:7">
      <c r="B41" s="93" t="str">
        <v>level_2</v>
      </c>
      <c r="C41" s="93" t="str">
        <v>kzn</v>
      </c>
      <c r="D41" s="93" t="str">
        <v>overall</v>
      </c>
      <c r="E41" s="93" t="str">
        <v>net charge</v>
      </c>
      <c r="F41" s="93" t="str">
        <v>net charge</v>
      </c>
      <c r="G41" s="92">
        <v>1219227.059142811</v>
      </c>
    </row>
    <row r="42" spans="2:7">
      <c r="B42" s="93" t="str">
        <v>level_2</v>
      </c>
      <c r="C42" s="93" t="str">
        <v>kzn</v>
      </c>
      <c r="D42" s="93" t="str">
        <v>overall</v>
      </c>
      <c r="E42" s="93" t="str">
        <v>calculated net charge</v>
      </c>
      <c r="F42" s="93" t="str">
        <v>calculated net charge</v>
      </c>
      <c r="G42" s="92">
        <v>1219334.4418685799</v>
      </c>
    </row>
    <row r="43" spans="2:7">
      <c r="B43" s="93" t="str">
        <v>level_2</v>
      </c>
      <c r="C43" s="93" t="str">
        <v>limpopo</v>
      </c>
      <c r="D43" s="93" t="str">
        <v>overall</v>
      </c>
      <c r="E43" s="93" t="str">
        <v>gross charge</v>
      </c>
      <c r="F43" s="93" t="str">
        <v>gross charge</v>
      </c>
      <c r="G43" s="92">
        <v>6083749.9331477517</v>
      </c>
    </row>
    <row r="44" spans="2:7">
      <c r="B44" s="93" t="str">
        <v>level_2</v>
      </c>
      <c r="C44" s="93" t="str">
        <v>limpopo</v>
      </c>
      <c r="D44" s="93" t="str">
        <v>overall</v>
      </c>
      <c r="E44" s="93" t="str">
        <v>net charge</v>
      </c>
      <c r="F44" s="93" t="str">
        <v>net charge</v>
      </c>
      <c r="G44" s="92">
        <v>5649953.593754949</v>
      </c>
    </row>
    <row r="45" spans="2:7">
      <c r="B45" s="93" t="str">
        <v>level_2</v>
      </c>
      <c r="C45" s="93" t="str">
        <v>limpopo</v>
      </c>
      <c r="D45" s="93" t="str">
        <v>overall</v>
      </c>
      <c r="E45" s="93" t="str">
        <v>calculated net charge</v>
      </c>
      <c r="F45" s="93" t="str">
        <v>calculated net charge</v>
      </c>
      <c r="G45" s="92">
        <v>5678502.2014692333</v>
      </c>
    </row>
    <row r="46" spans="2:7">
      <c r="B46" s="93" t="str">
        <v>level_2</v>
      </c>
      <c r="C46" s="93" t="str">
        <v>limpopo</v>
      </c>
      <c r="D46" s="93" t="str">
        <v>overall</v>
      </c>
      <c r="E46" s="93" t="str">
        <v>counterparty</v>
      </c>
      <c r="F46" s="93" t="str">
        <v>company_b</v>
      </c>
      <c r="G46" s="92">
        <v>143573.78091094363</v>
      </c>
    </row>
    <row r="47" spans="2:7">
      <c r="B47" s="93" t="str">
        <v>level_2</v>
      </c>
      <c r="C47" s="93" t="str">
        <v>limpopo</v>
      </c>
      <c r="D47" s="93" t="str">
        <v>overall</v>
      </c>
      <c r="E47" s="93" t="str">
        <v>counterparty</v>
      </c>
      <c r="F47" s="93" t="str">
        <v>company_c</v>
      </c>
      <c r="G47" s="92">
        <v>259381.41869406775</v>
      </c>
    </row>
    <row r="48" spans="2:7">
      <c r="B48" s="93" t="str">
        <v>level_2</v>
      </c>
      <c r="C48" s="93" t="str">
        <v>north west</v>
      </c>
      <c r="D48" s="93" t="str">
        <v>overall</v>
      </c>
      <c r="E48" s="93" t="str">
        <v>gross charge</v>
      </c>
      <c r="F48" s="93" t="str">
        <v>gross charge</v>
      </c>
      <c r="G48" s="92">
        <v>5898015.0035073403</v>
      </c>
    </row>
    <row r="49" spans="2:7">
      <c r="B49" s="93" t="str">
        <v>level_2</v>
      </c>
      <c r="C49" s="93" t="str">
        <v>north west</v>
      </c>
      <c r="D49" s="93" t="str">
        <v>overall</v>
      </c>
      <c r="E49" s="93" t="str">
        <v>net charge</v>
      </c>
      <c r="F49" s="93" t="str">
        <v>net charge</v>
      </c>
      <c r="G49" s="92">
        <v>4752711.9028189108</v>
      </c>
    </row>
    <row r="50" spans="2:7">
      <c r="B50" s="93" t="str">
        <v>level_2</v>
      </c>
      <c r="C50" s="93" t="str">
        <v>north west</v>
      </c>
      <c r="D50" s="93" t="str">
        <v>overall</v>
      </c>
      <c r="E50" s="93" t="str">
        <v>calculated net charge</v>
      </c>
      <c r="F50" s="93" t="str">
        <v>calculated net charge</v>
      </c>
      <c r="G50" s="92">
        <v>4858871.5530990399</v>
      </c>
    </row>
    <row r="51" spans="2:7">
      <c r="B51" s="93" t="str">
        <v>level_2</v>
      </c>
      <c r="C51" s="93" t="str">
        <v>north west</v>
      </c>
      <c r="D51" s="93" t="str">
        <v>overall</v>
      </c>
      <c r="E51" s="93" t="str">
        <v>counterparty</v>
      </c>
      <c r="F51" s="93" t="str">
        <v>company_a</v>
      </c>
      <c r="G51" s="92">
        <v>560531.77915861458</v>
      </c>
    </row>
    <row r="52" spans="2:7">
      <c r="B52" s="93" t="str">
        <v>level_2</v>
      </c>
      <c r="C52" s="93" t="str">
        <v>north west</v>
      </c>
      <c r="D52" s="93" t="str">
        <v>overall</v>
      </c>
      <c r="E52" s="93" t="str">
        <v>counterparty</v>
      </c>
      <c r="F52" s="93" t="str">
        <v>company_b</v>
      </c>
      <c r="G52" s="92">
        <v>444706.31772537157</v>
      </c>
    </row>
    <row r="53" spans="2:7">
      <c r="B53" s="93" t="str">
        <v>level_2</v>
      </c>
      <c r="C53" s="93" t="str">
        <v>eastern cape</v>
      </c>
      <c r="D53" s="93" t="str">
        <v>overall</v>
      </c>
      <c r="E53" s="93" t="str">
        <v>gross charge</v>
      </c>
      <c r="F53" s="93" t="str">
        <v>gross charge</v>
      </c>
      <c r="G53" s="92">
        <v>2779270.8014661032</v>
      </c>
    </row>
    <row r="54" spans="2:7">
      <c r="B54" s="93" t="str">
        <v>level_2</v>
      </c>
      <c r="C54" s="93" t="str">
        <v>eastern cape</v>
      </c>
      <c r="D54" s="93" t="str">
        <v>overall</v>
      </c>
      <c r="E54" s="93" t="str">
        <v>net charge</v>
      </c>
      <c r="F54" s="93" t="str">
        <v>net charge</v>
      </c>
      <c r="G54" s="92">
        <v>2581314.7842029906</v>
      </c>
    </row>
    <row r="55" spans="2:7">
      <c r="B55" s="93" t="str">
        <v>level_2</v>
      </c>
      <c r="C55" s="93" t="str">
        <v>eastern cape</v>
      </c>
      <c r="D55" s="93" t="str">
        <v>overall</v>
      </c>
      <c r="E55" s="93" t="str">
        <v>calculated net charge</v>
      </c>
      <c r="F55" s="93" t="str">
        <v>calculated net charge</v>
      </c>
      <c r="G55" s="92">
        <v>2594263.1415814213</v>
      </c>
    </row>
    <row r="56" spans="2:7">
      <c r="B56" s="93" t="str">
        <v>level_2</v>
      </c>
      <c r="C56" s="93" t="str">
        <v>eastern cape</v>
      </c>
      <c r="D56" s="93" t="str">
        <v>overall</v>
      </c>
      <c r="E56" s="93" t="str">
        <v>counterparty</v>
      </c>
      <c r="F56" s="93" t="str">
        <v>company_b</v>
      </c>
      <c r="G56" s="92">
        <v>65298.410886846483</v>
      </c>
    </row>
    <row r="57" spans="2:7">
      <c r="B57" s="93" t="str">
        <v>level_2</v>
      </c>
      <c r="C57" s="93" t="str">
        <v>eastern cape</v>
      </c>
      <c r="D57" s="93" t="str">
        <v>overall</v>
      </c>
      <c r="E57" s="93" t="str">
        <v>counterparty</v>
      </c>
      <c r="F57" s="93" t="str">
        <v>company_c</v>
      </c>
      <c r="G57" s="92">
        <v>118172.86002831254</v>
      </c>
    </row>
    <row r="58" spans="2:7">
      <c r="B58" s="93" t="str">
        <v>level_2</v>
      </c>
      <c r="C58" s="93" t="str">
        <v>free state</v>
      </c>
      <c r="D58" s="93" t="str">
        <v>overall</v>
      </c>
      <c r="E58" s="93" t="str">
        <v>gross charge</v>
      </c>
      <c r="F58" s="93" t="str">
        <v>gross charge</v>
      </c>
      <c r="G58" s="92">
        <v>4450505.4614063352</v>
      </c>
    </row>
    <row r="59" spans="2:7">
      <c r="B59" s="93" t="str">
        <v>level_2</v>
      </c>
      <c r="C59" s="93" t="str">
        <v>free state</v>
      </c>
      <c r="D59" s="93" t="str">
        <v>overall</v>
      </c>
      <c r="E59" s="93" t="str">
        <v>net charge</v>
      </c>
      <c r="F59" s="93" t="str">
        <v>net charge</v>
      </c>
      <c r="G59" s="92">
        <v>3772567.1907483246</v>
      </c>
    </row>
    <row r="60" spans="2:7">
      <c r="B60" s="93" t="str">
        <v>level_2</v>
      </c>
      <c r="C60" s="93" t="str">
        <v>free state</v>
      </c>
      <c r="D60" s="93" t="str">
        <v>overall</v>
      </c>
      <c r="E60" s="93" t="str">
        <v>calculated net charge</v>
      </c>
      <c r="F60" s="93" t="str">
        <v>calculated net charge</v>
      </c>
      <c r="G60" s="92">
        <v>3831938.586062979</v>
      </c>
    </row>
    <row r="61" spans="2:7">
      <c r="B61" s="93" t="str">
        <v>level_2</v>
      </c>
      <c r="C61" s="93" t="str">
        <v>free state</v>
      </c>
      <c r="D61" s="93" t="str">
        <v>overall</v>
      </c>
      <c r="E61" s="93" t="str">
        <v>counterparty</v>
      </c>
      <c r="F61" s="93" t="str">
        <v>company_a</v>
      </c>
      <c r="G61" s="92">
        <v>253170.46650259662</v>
      </c>
    </row>
    <row r="62" spans="2:7">
      <c r="B62" s="93" t="str">
        <v>level_2</v>
      </c>
      <c r="C62" s="93" t="str">
        <v>free state</v>
      </c>
      <c r="D62" s="93" t="str">
        <v>overall</v>
      </c>
      <c r="E62" s="93" t="str">
        <v>counterparty</v>
      </c>
      <c r="F62" s="93" t="str">
        <v>company_b</v>
      </c>
      <c r="G62" s="92">
        <v>255488.21296015568</v>
      </c>
    </row>
    <row r="63" spans="2:7">
      <c r="B63" s="93" t="str">
        <v>level_2</v>
      </c>
      <c r="C63" s="93" t="str">
        <v>free state</v>
      </c>
      <c r="D63" s="93" t="str">
        <v>overall</v>
      </c>
      <c r="E63" s="93" t="str">
        <v>counterparty</v>
      </c>
      <c r="F63" s="93" t="str">
        <v>company_c</v>
      </c>
      <c r="G63" s="92">
        <v>100801.66854011919</v>
      </c>
    </row>
    <row r="64" spans="2:7">
      <c r="B64" s="93" t="str">
        <v>level_2</v>
      </c>
      <c r="C64" s="93" t="str">
        <v>northern cape</v>
      </c>
      <c r="D64" s="93" t="str">
        <v>overall</v>
      </c>
      <c r="E64" s="93" t="str">
        <v>gross charge</v>
      </c>
      <c r="F64" s="93" t="str">
        <v>gross charge</v>
      </c>
      <c r="G64" s="92">
        <v>5393818.6767365318</v>
      </c>
    </row>
    <row r="65" spans="2:7">
      <c r="B65" s="93" t="str">
        <v>level_2</v>
      </c>
      <c r="C65" s="93" t="str">
        <v>northern cape</v>
      </c>
      <c r="D65" s="93" t="str">
        <v>overall</v>
      </c>
      <c r="E65" s="93" t="str">
        <v>net charge</v>
      </c>
      <c r="F65" s="93" t="str">
        <v>net charge</v>
      </c>
      <c r="G65" s="92">
        <v>5077017.9014536142</v>
      </c>
    </row>
    <row r="66" spans="2:7">
      <c r="B66" s="93" t="str">
        <v>level_2</v>
      </c>
      <c r="C66" s="93" t="str">
        <v>northern cape</v>
      </c>
      <c r="D66" s="93" t="str">
        <v>overall</v>
      </c>
      <c r="E66" s="93" t="str">
        <v>calculated net charge</v>
      </c>
      <c r="F66" s="93" t="str">
        <v>calculated net charge</v>
      </c>
      <c r="G66" s="92">
        <v>5040891.1339115528</v>
      </c>
    </row>
    <row r="67" spans="2:7">
      <c r="B67" s="93" t="str">
        <v>level_2</v>
      </c>
      <c r="C67" s="93" t="str">
        <v>northern cape</v>
      </c>
      <c r="D67" s="93" t="str">
        <v>overall</v>
      </c>
      <c r="E67" s="93" t="str">
        <v>counterparty</v>
      </c>
      <c r="F67" s="93" t="str">
        <v>company_a</v>
      </c>
      <c r="G67" s="92">
        <v>189127.37961827125</v>
      </c>
    </row>
    <row r="68" spans="2:7">
      <c r="B68" s="93" t="str">
        <v>level_2</v>
      </c>
      <c r="C68" s="93" t="str">
        <v>northern cape</v>
      </c>
      <c r="D68" s="93" t="str">
        <v>overall</v>
      </c>
      <c r="E68" s="93" t="str">
        <v>counterparty</v>
      </c>
      <c r="F68" s="93" t="str">
        <v>company_b</v>
      </c>
      <c r="G68" s="92">
        <v>149860.75310634263</v>
      </c>
    </row>
    <row r="69" spans="2:7">
      <c r="B69" s="93" t="str">
        <v>level_2</v>
      </c>
      <c r="C69" s="93" t="str">
        <v>western cape</v>
      </c>
      <c r="D69" s="93" t="str">
        <v>overall</v>
      </c>
      <c r="E69" s="93" t="str">
        <v>gross charge</v>
      </c>
      <c r="F69" s="93" t="str">
        <v>gross charge</v>
      </c>
      <c r="G69" s="92">
        <v>4438230.2576274928</v>
      </c>
    </row>
    <row r="70" spans="2:7">
      <c r="B70" s="93" t="str">
        <v>level_2</v>
      </c>
      <c r="C70" s="93" t="str">
        <v>western cape</v>
      </c>
      <c r="D70" s="93" t="str">
        <v>overall</v>
      </c>
      <c r="E70" s="93" t="str">
        <v>net charge</v>
      </c>
      <c r="F70" s="93" t="str">
        <v>net charge</v>
      </c>
      <c r="G70" s="92">
        <v>3699319.7562067546</v>
      </c>
    </row>
    <row r="71" spans="2:7">
      <c r="B71" s="93" t="str">
        <v>level_2</v>
      </c>
      <c r="C71" s="93" t="str">
        <v>western cape</v>
      </c>
      <c r="D71" s="93" t="str">
        <v>overall</v>
      </c>
      <c r="E71" s="93" t="str">
        <v>calculated net charge</v>
      </c>
      <c r="F71" s="93" t="str">
        <v>calculated net charge</v>
      </c>
      <c r="G71" s="92">
        <v>3419146.1078602504</v>
      </c>
    </row>
    <row r="72" spans="2:7">
      <c r="B72" s="93" t="str">
        <v>level_2</v>
      </c>
      <c r="C72" s="93" t="str">
        <v>western cape</v>
      </c>
      <c r="D72" s="93" t="str">
        <v>overall</v>
      </c>
      <c r="E72" s="93" t="str">
        <v>counterparty</v>
      </c>
      <c r="F72" s="93" t="str">
        <v>company_a</v>
      </c>
      <c r="G72" s="92">
        <v>421416.818288601</v>
      </c>
    </row>
    <row r="73" spans="2:7">
      <c r="B73" s="93" t="str">
        <v>level_2</v>
      </c>
      <c r="C73" s="93" t="str">
        <v>western cape</v>
      </c>
      <c r="D73" s="93" t="str">
        <v>overall</v>
      </c>
      <c r="E73" s="93" t="str">
        <v>counterparty</v>
      </c>
      <c r="F73" s="93" t="str">
        <v>company_b</v>
      </c>
      <c r="G73" s="92">
        <v>421224.18316326104</v>
      </c>
    </row>
    <row r="74" spans="2:7">
      <c r="B74" s="93" t="str">
        <v>level_2</v>
      </c>
      <c r="C74" s="93" t="str">
        <v>western cape</v>
      </c>
      <c r="D74" s="93" t="str">
        <v>overall</v>
      </c>
      <c r="E74" s="93" t="str">
        <v>counterparty</v>
      </c>
      <c r="F74" s="93" t="str">
        <v>company_c</v>
      </c>
      <c r="G74" s="92">
        <v>164858.21236536</v>
      </c>
    </row>
    <row r="75" spans="2:7">
      <c r="B75" s="93" t="str">
        <v>__overall__</v>
      </c>
      <c r="C75" s="93" t="str">
        <v>__overall__</v>
      </c>
      <c r="D75" s="93" t="str">
        <v>premium</v>
      </c>
      <c r="E75" s="93" t="str">
        <v>gross charge</v>
      </c>
      <c r="F75" s="93" t="str">
        <v>gross charge</v>
      </c>
      <c r="G75" s="92">
        <v>21543413.259388551</v>
      </c>
    </row>
    <row r="76" spans="2:7">
      <c r="B76" s="93" t="str">
        <v>__overall__</v>
      </c>
      <c r="C76" s="93" t="str">
        <v>__overall__</v>
      </c>
      <c r="D76" s="93" t="str">
        <v>premium</v>
      </c>
      <c r="E76" s="93" t="str">
        <v>net charge</v>
      </c>
      <c r="F76" s="93" t="str">
        <v>net charge</v>
      </c>
      <c r="G76" s="92">
        <v>18827047.430338152</v>
      </c>
    </row>
    <row r="77" spans="2:7">
      <c r="B77" s="93" t="str">
        <v>__overall__</v>
      </c>
      <c r="C77" s="93" t="str">
        <v>__overall__</v>
      </c>
      <c r="D77" s="93" t="str">
        <v>premium</v>
      </c>
      <c r="E77" s="93" t="str">
        <v>calculated net charge</v>
      </c>
      <c r="F77" s="93" t="str">
        <v>calculated net charge</v>
      </c>
      <c r="G77" s="92">
        <v>18661487.138704251</v>
      </c>
    </row>
    <row r="78" spans="2:7">
      <c r="B78" s="93" t="str">
        <v>__overall__</v>
      </c>
      <c r="C78" s="93" t="str">
        <v>__overall__</v>
      </c>
      <c r="D78" s="93" t="str">
        <v>premium</v>
      </c>
      <c r="E78" s="93" t="str">
        <v>counterparty</v>
      </c>
      <c r="F78" s="93" t="str">
        <v>company_a</v>
      </c>
      <c r="G78" s="92">
        <v>1233237.9094130695</v>
      </c>
    </row>
    <row r="79" spans="2:7">
      <c r="B79" s="93" t="str">
        <v>__overall__</v>
      </c>
      <c r="C79" s="93" t="str">
        <v>__overall__</v>
      </c>
      <c r="D79" s="93" t="str">
        <v>premium</v>
      </c>
      <c r="E79" s="93" t="str">
        <v>counterparty</v>
      </c>
      <c r="F79" s="93" t="str">
        <v>company_b</v>
      </c>
      <c r="G79" s="92">
        <v>1216024.852110751</v>
      </c>
    </row>
    <row r="80" spans="2:7">
      <c r="B80" s="93" t="str">
        <v>__overall__</v>
      </c>
      <c r="C80" s="93" t="str">
        <v>__overall__</v>
      </c>
      <c r="D80" s="93" t="str">
        <v>premium</v>
      </c>
      <c r="E80" s="93" t="str">
        <v>counterparty</v>
      </c>
      <c r="F80" s="93" t="str">
        <v>company_c</v>
      </c>
      <c r="G80" s="92">
        <v>418936.80645979196</v>
      </c>
    </row>
    <row r="81" spans="2:7">
      <c r="B81" s="93" t="str">
        <v>level_1</v>
      </c>
      <c r="C81" s="93" t="str">
        <v>direct</v>
      </c>
      <c r="D81" s="93" t="str">
        <v>premium</v>
      </c>
      <c r="E81" s="93" t="str">
        <v>gross charge</v>
      </c>
      <c r="F81" s="93" t="str">
        <v>gross charge</v>
      </c>
      <c r="G81" s="92">
        <v>12167463.779312814</v>
      </c>
    </row>
    <row r="82" spans="2:7">
      <c r="B82" s="93" t="str">
        <v>level_1</v>
      </c>
      <c r="C82" s="93" t="str">
        <v>direct</v>
      </c>
      <c r="D82" s="93" t="str">
        <v>premium</v>
      </c>
      <c r="E82" s="93" t="str">
        <v>net charge</v>
      </c>
      <c r="F82" s="93" t="str">
        <v>net charge</v>
      </c>
      <c r="G82" s="92">
        <v>10886038.340626245</v>
      </c>
    </row>
    <row r="83" spans="2:7">
      <c r="B83" s="93" t="str">
        <v>level_1</v>
      </c>
      <c r="C83" s="93" t="str">
        <v>direct</v>
      </c>
      <c r="D83" s="93" t="str">
        <v>premium</v>
      </c>
      <c r="E83" s="93" t="str">
        <v>calculated net charge</v>
      </c>
      <c r="F83" s="93" t="str">
        <v>calculated net charge</v>
      </c>
      <c r="G83" s="92">
        <v>11000294.119697988</v>
      </c>
    </row>
    <row r="84" spans="2:7">
      <c r="B84" s="93" t="str">
        <v>level_1</v>
      </c>
      <c r="C84" s="93" t="str">
        <v>direct</v>
      </c>
      <c r="D84" s="93" t="str">
        <v>premium</v>
      </c>
      <c r="E84" s="93" t="str">
        <v>counterparty</v>
      </c>
      <c r="F84" s="93" t="str">
        <v>company_a</v>
      </c>
      <c r="G84" s="92">
        <v>466352.63050723262</v>
      </c>
    </row>
    <row r="85" spans="2:7">
      <c r="B85" s="93" t="str">
        <v>level_1</v>
      </c>
      <c r="C85" s="93" t="str">
        <v>direct</v>
      </c>
      <c r="D85" s="93" t="str">
        <v>premium</v>
      </c>
      <c r="E85" s="93" t="str">
        <v>counterparty</v>
      </c>
      <c r="F85" s="93" t="str">
        <v>company_b</v>
      </c>
      <c r="G85" s="92">
        <v>485217.55681573227</v>
      </c>
    </row>
    <row r="86" spans="2:7">
      <c r="B86" s="93" t="str">
        <v>level_1</v>
      </c>
      <c r="C86" s="93" t="str">
        <v>direct</v>
      </c>
      <c r="D86" s="93" t="str">
        <v>premium</v>
      </c>
      <c r="E86" s="93" t="str">
        <v>counterparty</v>
      </c>
      <c r="F86" s="93" t="str">
        <v>company_c</v>
      </c>
      <c r="G86" s="92">
        <v>205883.97857216746</v>
      </c>
    </row>
    <row r="87" spans="2:7">
      <c r="B87" s="93" t="str">
        <v>level_1</v>
      </c>
      <c r="C87" s="93" t="str">
        <v>intermediated</v>
      </c>
      <c r="D87" s="93" t="str">
        <v>premium</v>
      </c>
      <c r="E87" s="93" t="str">
        <v>gross charge</v>
      </c>
      <c r="F87" s="93" t="str">
        <v>gross charge</v>
      </c>
      <c r="G87" s="92">
        <v>5022795.7352242041</v>
      </c>
    </row>
    <row r="88" spans="2:7">
      <c r="B88" s="93" t="str">
        <v>level_1</v>
      </c>
      <c r="C88" s="93" t="str">
        <v>intermediated</v>
      </c>
      <c r="D88" s="93" t="str">
        <v>premium</v>
      </c>
      <c r="E88" s="93" t="str">
        <v>net charge</v>
      </c>
      <c r="F88" s="93" t="str">
        <v>net charge</v>
      </c>
      <c r="G88" s="92">
        <v>3559475.0500263032</v>
      </c>
    </row>
    <row r="89" spans="2:7">
      <c r="B89" s="93" t="str">
        <v>level_1</v>
      </c>
      <c r="C89" s="93" t="str">
        <v>intermediated</v>
      </c>
      <c r="D89" s="93" t="str">
        <v>premium</v>
      </c>
      <c r="E89" s="93" t="str">
        <v>calculated net charge</v>
      </c>
      <c r="F89" s="93" t="str">
        <v>calculated net charge</v>
      </c>
      <c r="G89" s="92">
        <v>3691728.313170922</v>
      </c>
    </row>
    <row r="90" spans="2:7">
      <c r="B90" s="93" t="str">
        <v>level_1</v>
      </c>
      <c r="C90" s="93" t="str">
        <v>intermediated</v>
      </c>
      <c r="D90" s="93" t="str">
        <v>premium</v>
      </c>
      <c r="E90" s="93" t="str">
        <v>counterparty</v>
      </c>
      <c r="F90" s="93" t="str">
        <v>company_a</v>
      </c>
      <c r="G90" s="92">
        <v>626976.72011503391</v>
      </c>
    </row>
    <row r="91" spans="2:7">
      <c r="B91" s="93" t="str">
        <v>level_1</v>
      </c>
      <c r="C91" s="93" t="str">
        <v>intermediated</v>
      </c>
      <c r="D91" s="93" t="str">
        <v>premium</v>
      </c>
      <c r="E91" s="93" t="str">
        <v>counterparty</v>
      </c>
      <c r="F91" s="93" t="str">
        <v>company_b</v>
      </c>
      <c r="G91" s="92">
        <v>562333.42888538912</v>
      </c>
    </row>
    <row r="92" spans="2:7">
      <c r="B92" s="93" t="str">
        <v>level_1</v>
      </c>
      <c r="C92" s="93" t="str">
        <v>intermediated</v>
      </c>
      <c r="D92" s="93" t="str">
        <v>premium</v>
      </c>
      <c r="E92" s="93" t="str">
        <v>counterparty</v>
      </c>
      <c r="F92" s="93" t="str">
        <v>company_c</v>
      </c>
      <c r="G92" s="92">
        <v>123342.87295128684</v>
      </c>
    </row>
    <row r="93" spans="2:7">
      <c r="B93" s="93" t="str">
        <v>level_1</v>
      </c>
      <c r="C93" s="93" t="str">
        <v>partnerships</v>
      </c>
      <c r="D93" s="93" t="str">
        <v>premium</v>
      </c>
      <c r="E93" s="93" t="str">
        <v>gross charge</v>
      </c>
      <c r="F93" s="93" t="str">
        <v>gross charge</v>
      </c>
      <c r="G93" s="92">
        <v>679467.3</v>
      </c>
    </row>
    <row r="94" spans="2:7">
      <c r="B94" s="93" t="str">
        <v>level_1</v>
      </c>
      <c r="C94" s="93" t="str">
        <v>partnerships</v>
      </c>
      <c r="D94" s="93" t="str">
        <v>premium</v>
      </c>
      <c r="E94" s="93" t="str">
        <v>net charge</v>
      </c>
      <c r="F94" s="93" t="str">
        <v>net charge</v>
      </c>
      <c r="G94" s="92">
        <v>679331.10000000009</v>
      </c>
    </row>
    <row r="95" spans="2:7">
      <c r="B95" s="93" t="str">
        <v>level_1</v>
      </c>
      <c r="C95" s="93" t="str">
        <v>partnerships</v>
      </c>
      <c r="D95" s="93" t="str">
        <v>premium</v>
      </c>
      <c r="E95" s="93" t="str">
        <v>calculated net charge</v>
      </c>
      <c r="F95" s="93" t="str">
        <v>calculated net charge</v>
      </c>
      <c r="G95" s="92">
        <v>679467.3</v>
      </c>
    </row>
    <row r="96" spans="2:7">
      <c r="B96" s="93" t="str">
        <v>level_1</v>
      </c>
      <c r="C96" s="93" t="str">
        <v>specialised</v>
      </c>
      <c r="D96" s="93" t="str">
        <v>premium</v>
      </c>
      <c r="E96" s="93" t="str">
        <v>gross charge</v>
      </c>
      <c r="F96" s="93" t="str">
        <v>gross charge</v>
      </c>
      <c r="G96" s="92">
        <v>5306639.6045899959</v>
      </c>
    </row>
    <row r="97" spans="2:7">
      <c r="B97" s="93" t="str">
        <v>level_1</v>
      </c>
      <c r="C97" s="93" t="str">
        <v>specialised</v>
      </c>
      <c r="D97" s="93" t="str">
        <v>premium</v>
      </c>
      <c r="E97" s="93" t="str">
        <v>net charge</v>
      </c>
      <c r="F97" s="93" t="str">
        <v>net charge</v>
      </c>
      <c r="G97" s="92">
        <v>5120290.5483812168</v>
      </c>
    </row>
    <row r="98" spans="2:7">
      <c r="B98" s="93" t="str">
        <v>level_1</v>
      </c>
      <c r="C98" s="93" t="str">
        <v>specialised</v>
      </c>
      <c r="D98" s="93" t="str">
        <v>premium</v>
      </c>
      <c r="E98" s="93" t="str">
        <v>calculated net charge</v>
      </c>
      <c r="F98" s="93" t="str">
        <v>calculated net charge</v>
      </c>
      <c r="G98" s="92">
        <v>4680468.1722882874</v>
      </c>
    </row>
    <row r="99" spans="2:7">
      <c r="B99" s="93" t="str">
        <v>level_1</v>
      </c>
      <c r="C99" s="93" t="str">
        <v>specialised</v>
      </c>
      <c r="D99" s="93" t="str">
        <v>premium</v>
      </c>
      <c r="E99" s="93" t="str">
        <v>counterparty</v>
      </c>
      <c r="F99" s="93" t="str">
        <v>company_a</v>
      </c>
      <c r="G99" s="92">
        <v>224696.69121206924</v>
      </c>
    </row>
    <row r="100" spans="2:7">
      <c r="B100" s="93" t="str">
        <v>level_1</v>
      </c>
      <c r="C100" s="93" t="str">
        <v>specialised</v>
      </c>
      <c r="D100" s="93" t="str">
        <v>premium</v>
      </c>
      <c r="E100" s="93" t="str">
        <v>counterparty</v>
      </c>
      <c r="F100" s="93" t="str">
        <v>company_b</v>
      </c>
      <c r="G100" s="92">
        <v>254882.10697804391</v>
      </c>
    </row>
    <row r="101" spans="2:7">
      <c r="B101" s="93" t="str">
        <v>level_1</v>
      </c>
      <c r="C101" s="93" t="str">
        <v>specialised</v>
      </c>
      <c r="D101" s="93" t="str">
        <v>premium</v>
      </c>
      <c r="E101" s="93" t="str">
        <v>counterparty</v>
      </c>
      <c r="F101" s="93" t="str">
        <v>company_c</v>
      </c>
      <c r="G101" s="92">
        <v>139146.93024579342</v>
      </c>
    </row>
    <row r="102" spans="2:7">
      <c r="B102" s="93" t="str">
        <v>level_2</v>
      </c>
      <c r="C102" s="93" t="str">
        <v>gauteng</v>
      </c>
      <c r="D102" s="93" t="str">
        <v>premium</v>
      </c>
      <c r="E102" s="93" t="str">
        <v>gross charge</v>
      </c>
      <c r="F102" s="93" t="str">
        <v>gross charge</v>
      </c>
      <c r="G102" s="92">
        <v>1869531.2586117061</v>
      </c>
    </row>
    <row r="103" spans="2:7">
      <c r="B103" s="93" t="str">
        <v>level_2</v>
      </c>
      <c r="C103" s="93" t="str">
        <v>gauteng</v>
      </c>
      <c r="D103" s="93" t="str">
        <v>premium</v>
      </c>
      <c r="E103" s="93" t="str">
        <v>net charge</v>
      </c>
      <c r="F103" s="93" t="str">
        <v>net charge</v>
      </c>
      <c r="G103" s="92">
        <v>934468.6764973792</v>
      </c>
    </row>
    <row r="104" spans="2:7">
      <c r="B104" s="93" t="str">
        <v>level_2</v>
      </c>
      <c r="C104" s="93" t="str">
        <v>gauteng</v>
      </c>
      <c r="D104" s="93" t="str">
        <v>premium</v>
      </c>
      <c r="E104" s="93" t="str">
        <v>calculated net charge</v>
      </c>
      <c r="F104" s="93" t="str">
        <v>calculated net charge</v>
      </c>
      <c r="G104" s="92">
        <v>1028242.1922364383</v>
      </c>
    </row>
    <row r="105" spans="2:7">
      <c r="B105" s="93" t="str">
        <v>level_2</v>
      </c>
      <c r="C105" s="93" t="str">
        <v>gauteng</v>
      </c>
      <c r="D105" s="93" t="str">
        <v>premium</v>
      </c>
      <c r="E105" s="93" t="str">
        <v>counterparty</v>
      </c>
      <c r="F105" s="93" t="str">
        <v>company_a</v>
      </c>
      <c r="G105" s="92">
        <v>467382.81465292687</v>
      </c>
    </row>
    <row r="106" spans="2:7">
      <c r="B106" s="93" t="str">
        <v>level_2</v>
      </c>
      <c r="C106" s="93" t="str">
        <v>gauteng</v>
      </c>
      <c r="D106" s="93" t="str">
        <v>premium</v>
      </c>
      <c r="E106" s="93" t="str">
        <v>counterparty</v>
      </c>
      <c r="F106" s="93" t="str">
        <v>company_b</v>
      </c>
      <c r="G106" s="92">
        <v>373906.25172234129</v>
      </c>
    </row>
    <row r="107" spans="2:7">
      <c r="B107" s="93" t="str">
        <v>level_2</v>
      </c>
      <c r="C107" s="93" t="str">
        <v>kzn</v>
      </c>
      <c r="D107" s="93" t="str">
        <v>premium</v>
      </c>
      <c r="E107" s="93" t="str">
        <v>gross charge</v>
      </c>
      <c r="F107" s="93" t="str">
        <v>gross charge</v>
      </c>
      <c r="G107" s="92">
        <v>1040083.3640095785</v>
      </c>
    </row>
    <row r="108" spans="2:7">
      <c r="B108" s="93" t="str">
        <v>level_2</v>
      </c>
      <c r="C108" s="93" t="str">
        <v>kzn</v>
      </c>
      <c r="D108" s="93" t="str">
        <v>premium</v>
      </c>
      <c r="E108" s="93" t="str">
        <v>net charge</v>
      </c>
      <c r="F108" s="93" t="str">
        <v>net charge</v>
      </c>
      <c r="G108" s="92">
        <v>1039973.578495075</v>
      </c>
    </row>
    <row r="109" spans="2:7">
      <c r="B109" s="93" t="str">
        <v>level_2</v>
      </c>
      <c r="C109" s="93" t="str">
        <v>kzn</v>
      </c>
      <c r="D109" s="93" t="str">
        <v>premium</v>
      </c>
      <c r="E109" s="93" t="str">
        <v>calculated net charge</v>
      </c>
      <c r="F109" s="93" t="str">
        <v>calculated net charge</v>
      </c>
      <c r="G109" s="92">
        <v>1040083.3640095785</v>
      </c>
    </row>
    <row r="110" spans="2:7">
      <c r="B110" s="93" t="str">
        <v>level_2</v>
      </c>
      <c r="C110" s="93" t="str">
        <v>limpopo</v>
      </c>
      <c r="D110" s="93" t="str">
        <v>premium</v>
      </c>
      <c r="E110" s="93" t="str">
        <v>gross charge</v>
      </c>
      <c r="F110" s="93" t="str">
        <v>gross charge</v>
      </c>
      <c r="G110" s="92">
        <v>5039656.4603532217</v>
      </c>
    </row>
    <row r="111" spans="2:7">
      <c r="B111" s="93" t="str">
        <v>level_2</v>
      </c>
      <c r="C111" s="93" t="str">
        <v>limpopo</v>
      </c>
      <c r="D111" s="93" t="str">
        <v>premium</v>
      </c>
      <c r="E111" s="93" t="str">
        <v>net charge</v>
      </c>
      <c r="F111" s="93" t="str">
        <v>net charge</v>
      </c>
      <c r="G111" s="92">
        <v>4688778.0248029083</v>
      </c>
    </row>
    <row r="112" spans="2:7">
      <c r="B112" s="93" t="str">
        <v>level_2</v>
      </c>
      <c r="C112" s="93" t="str">
        <v>limpopo</v>
      </c>
      <c r="D112" s="93" t="str">
        <v>premium</v>
      </c>
      <c r="E112" s="93" t="str">
        <v>calculated net charge</v>
      </c>
      <c r="F112" s="93" t="str">
        <v>calculated net charge</v>
      </c>
      <c r="G112" s="92">
        <v>4711861.4385210993</v>
      </c>
    </row>
    <row r="113" spans="2:7">
      <c r="B113" s="93" t="str">
        <v>level_2</v>
      </c>
      <c r="C113" s="93" t="str">
        <v>limpopo</v>
      </c>
      <c r="D113" s="93" t="str">
        <v>premium</v>
      </c>
      <c r="E113" s="93" t="str">
        <v>counterparty</v>
      </c>
      <c r="F113" s="93" t="str">
        <v>company_b</v>
      </c>
      <c r="G113" s="92">
        <v>116106.8177097505</v>
      </c>
    </row>
    <row r="114" spans="2:7">
      <c r="B114" s="93" t="str">
        <v>level_2</v>
      </c>
      <c r="C114" s="93" t="str">
        <v>limpopo</v>
      </c>
      <c r="D114" s="93" t="str">
        <v>premium</v>
      </c>
      <c r="E114" s="93" t="str">
        <v>counterparty</v>
      </c>
      <c r="F114" s="93" t="str">
        <v>company_c</v>
      </c>
      <c r="G114" s="92">
        <v>209780.86036545038</v>
      </c>
    </row>
    <row r="115" spans="2:7">
      <c r="B115" s="93" t="str">
        <v>level_2</v>
      </c>
      <c r="C115" s="93" t="str">
        <v>north west</v>
      </c>
      <c r="D115" s="93" t="str">
        <v>premium</v>
      </c>
      <c r="E115" s="93" t="str">
        <v>gross charge</v>
      </c>
      <c r="F115" s="93" t="str">
        <v>gross charge</v>
      </c>
      <c r="G115" s="92">
        <v>4872830.3613621136</v>
      </c>
    </row>
    <row r="116" spans="2:7">
      <c r="B116" s="93" t="str">
        <v>level_2</v>
      </c>
      <c r="C116" s="93" t="str">
        <v>north west</v>
      </c>
      <c r="D116" s="93" t="str">
        <v>premium</v>
      </c>
      <c r="E116" s="93" t="str">
        <v>net charge</v>
      </c>
      <c r="F116" s="93" t="str">
        <v>net charge</v>
      </c>
      <c r="G116" s="92">
        <v>3946558.5669142851</v>
      </c>
    </row>
    <row r="117" spans="2:7">
      <c r="B117" s="93" t="str">
        <v>level_2</v>
      </c>
      <c r="C117" s="93" t="str">
        <v>north west</v>
      </c>
      <c r="D117" s="93" t="str">
        <v>premium</v>
      </c>
      <c r="E117" s="93" t="str">
        <v>calculated net charge</v>
      </c>
      <c r="F117" s="93" t="str">
        <v>calculated net charge</v>
      </c>
      <c r="G117" s="92">
        <v>4032330.86357853</v>
      </c>
    </row>
    <row r="118" spans="2:7">
      <c r="B118" s="93" t="str">
        <v>level_2</v>
      </c>
      <c r="C118" s="93" t="str">
        <v>north west</v>
      </c>
      <c r="D118" s="93" t="str">
        <v>premium</v>
      </c>
      <c r="E118" s="93" t="str">
        <v>counterparty</v>
      </c>
      <c r="F118" s="93" t="str">
        <v>company_a</v>
      </c>
      <c r="G118" s="92">
        <v>453059.84546215832</v>
      </c>
    </row>
    <row r="119" spans="2:7">
      <c r="B119" s="93" t="str">
        <v>level_2</v>
      </c>
      <c r="C119" s="93" t="str">
        <v>north west</v>
      </c>
      <c r="D119" s="93" t="str">
        <v>premium</v>
      </c>
      <c r="E119" s="93" t="str">
        <v>counterparty</v>
      </c>
      <c r="F119" s="93" t="str">
        <v>company_b</v>
      </c>
      <c r="G119" s="92">
        <v>359375.77479101717</v>
      </c>
    </row>
    <row r="120" spans="2:7">
      <c r="B120" s="93" t="str">
        <v>level_2</v>
      </c>
      <c r="C120" s="93" t="str">
        <v>eastern cape</v>
      </c>
      <c r="D120" s="93" t="str">
        <v>premium</v>
      </c>
      <c r="E120" s="93" t="str">
        <v>gross charge</v>
      </c>
      <c r="F120" s="93" t="str">
        <v>gross charge</v>
      </c>
      <c r="G120" s="92">
        <v>2127558.1265595895</v>
      </c>
    </row>
    <row r="121" spans="2:7">
      <c r="B121" s="93" t="str">
        <v>level_2</v>
      </c>
      <c r="C121" s="93" t="str">
        <v>eastern cape</v>
      </c>
      <c r="D121" s="93" t="str">
        <v>premium</v>
      </c>
      <c r="E121" s="93" t="str">
        <v>net charge</v>
      </c>
      <c r="F121" s="93" t="str">
        <v>net charge</v>
      </c>
      <c r="G121" s="92">
        <v>1983818.8876473857</v>
      </c>
    </row>
    <row r="122" spans="2:7">
      <c r="B122" s="93" t="str">
        <v>level_2</v>
      </c>
      <c r="C122" s="93" t="str">
        <v>eastern cape</v>
      </c>
      <c r="D122" s="93" t="str">
        <v>premium</v>
      </c>
      <c r="E122" s="93" t="str">
        <v>calculated net charge</v>
      </c>
      <c r="F122" s="93" t="str">
        <v>calculated net charge</v>
      </c>
      <c r="G122" s="92">
        <v>1993206.0317080147</v>
      </c>
    </row>
    <row r="123" spans="2:7">
      <c r="B123" s="93" t="str">
        <v>level_2</v>
      </c>
      <c r="C123" s="93" t="str">
        <v>eastern cape</v>
      </c>
      <c r="D123" s="93" t="str">
        <v>premium</v>
      </c>
      <c r="E123" s="93" t="str">
        <v>counterparty</v>
      </c>
      <c r="F123" s="93" t="str">
        <v>company_b</v>
      </c>
      <c r="G123" s="92">
        <v>47372.188649348449</v>
      </c>
    </row>
    <row r="124" spans="2:7">
      <c r="B124" s="93" t="str">
        <v>level_2</v>
      </c>
      <c r="C124" s="93" t="str">
        <v>eastern cape</v>
      </c>
      <c r="D124" s="93" t="str">
        <v>premium</v>
      </c>
      <c r="E124" s="93" t="str">
        <v>counterparty</v>
      </c>
      <c r="F124" s="93" t="str">
        <v>company_c</v>
      </c>
      <c r="G124" s="92">
        <v>85769.777533601504</v>
      </c>
    </row>
    <row r="125" spans="2:7">
      <c r="B125" s="93" t="str">
        <v>level_2</v>
      </c>
      <c r="C125" s="93" t="str">
        <v>free state</v>
      </c>
      <c r="D125" s="93" t="str">
        <v>premium</v>
      </c>
      <c r="E125" s="93" t="str">
        <v>gross charge</v>
      </c>
      <c r="F125" s="93" t="str">
        <v>gross charge</v>
      </c>
      <c r="G125" s="92">
        <v>3765300.5782548334</v>
      </c>
    </row>
    <row r="126" spans="2:7">
      <c r="B126" s="93" t="str">
        <v>level_2</v>
      </c>
      <c r="C126" s="93" t="str">
        <v>free state</v>
      </c>
      <c r="D126" s="93" t="str">
        <v>premium</v>
      </c>
      <c r="E126" s="93" t="str">
        <v>net charge</v>
      </c>
      <c r="F126" s="93" t="str">
        <v>net charge</v>
      </c>
      <c r="G126" s="92">
        <v>3217267.6336595435</v>
      </c>
    </row>
    <row r="127" spans="2:7">
      <c r="B127" s="93" t="str">
        <v>level_2</v>
      </c>
      <c r="C127" s="93" t="str">
        <v>free state</v>
      </c>
      <c r="D127" s="93" t="str">
        <v>premium</v>
      </c>
      <c r="E127" s="93" t="str">
        <v>calculated net charge</v>
      </c>
      <c r="F127" s="93" t="str">
        <v>calculated net charge</v>
      </c>
      <c r="G127" s="92">
        <v>3265753.6984897968</v>
      </c>
    </row>
    <row r="128" spans="2:7">
      <c r="B128" s="93" t="str">
        <v>level_2</v>
      </c>
      <c r="C128" s="93" t="str">
        <v>free state</v>
      </c>
      <c r="D128" s="93" t="str">
        <v>premium</v>
      </c>
      <c r="E128" s="93" t="str">
        <v>counterparty</v>
      </c>
      <c r="F128" s="93" t="str">
        <v>company_a</v>
      </c>
      <c r="G128" s="92">
        <v>213686.01215307042</v>
      </c>
    </row>
    <row r="129" spans="2:7">
      <c r="B129" s="93" t="str">
        <v>level_2</v>
      </c>
      <c r="C129" s="93" t="str">
        <v>free state</v>
      </c>
      <c r="D129" s="93" t="str">
        <v>premium</v>
      </c>
      <c r="E129" s="93" t="str">
        <v>counterparty</v>
      </c>
      <c r="F129" s="93" t="str">
        <v>company_b</v>
      </c>
      <c r="G129" s="92">
        <v>207527.54743978567</v>
      </c>
    </row>
    <row r="130" spans="2:7">
      <c r="B130" s="93" t="str">
        <v>level_2</v>
      </c>
      <c r="C130" s="93" t="str">
        <v>free state</v>
      </c>
      <c r="D130" s="93" t="str">
        <v>premium</v>
      </c>
      <c r="E130" s="93" t="str">
        <v>counterparty</v>
      </c>
      <c r="F130" s="93" t="str">
        <v>company_c</v>
      </c>
      <c r="G130" s="92">
        <v>69856.139206512365</v>
      </c>
    </row>
    <row r="131" spans="2:7">
      <c r="B131" s="93" t="str">
        <v>level_2</v>
      </c>
      <c r="C131" s="93" t="str">
        <v>northern cape</v>
      </c>
      <c r="D131" s="93" t="str">
        <v>premium</v>
      </c>
      <c r="E131" s="93" t="str">
        <v>gross charge</v>
      </c>
      <c r="F131" s="93" t="str">
        <v>gross charge</v>
      </c>
      <c r="G131" s="92">
        <v>4348944.7316447366</v>
      </c>
    </row>
    <row r="132" spans="2:7">
      <c r="B132" s="93" t="str">
        <v>level_2</v>
      </c>
      <c r="C132" s="93" t="str">
        <v>northern cape</v>
      </c>
      <c r="D132" s="93" t="str">
        <v>premium</v>
      </c>
      <c r="E132" s="93" t="str">
        <v>net charge</v>
      </c>
      <c r="F132" s="93" t="str">
        <v>net charge</v>
      </c>
      <c r="G132" s="92">
        <v>4068390.9801884196</v>
      </c>
    </row>
    <row r="133" spans="2:7">
      <c r="B133" s="93" t="str">
        <v>level_2</v>
      </c>
      <c r="C133" s="93" t="str">
        <v>northern cape</v>
      </c>
      <c r="D133" s="93" t="str">
        <v>premium</v>
      </c>
      <c r="E133" s="93" t="str">
        <v>calculated net charge</v>
      </c>
      <c r="F133" s="93" t="str">
        <v>calculated net charge</v>
      </c>
      <c r="G133" s="92">
        <v>4025146.1763260402</v>
      </c>
    </row>
    <row r="134" spans="2:7">
      <c r="B134" s="93" t="str">
        <v>level_2</v>
      </c>
      <c r="C134" s="93" t="str">
        <v>northern cape</v>
      </c>
      <c r="D134" s="93" t="str">
        <v>premium</v>
      </c>
      <c r="E134" s="93" t="str">
        <v>counterparty</v>
      </c>
      <c r="F134" s="93" t="str">
        <v>company_a</v>
      </c>
      <c r="G134" s="92">
        <v>173187.99274813477</v>
      </c>
    </row>
    <row r="135" spans="2:7">
      <c r="B135" s="93" t="str">
        <v>level_2</v>
      </c>
      <c r="C135" s="93" t="str">
        <v>northern cape</v>
      </c>
      <c r="D135" s="93" t="str">
        <v>premium</v>
      </c>
      <c r="E135" s="93" t="str">
        <v>counterparty</v>
      </c>
      <c r="F135" s="93" t="str">
        <v>company_b</v>
      </c>
      <c r="G135" s="92">
        <v>137152.4623648636</v>
      </c>
    </row>
    <row r="136" spans="2:7">
      <c r="B136" s="93" t="str">
        <v>level_2</v>
      </c>
      <c r="C136" s="93" t="str">
        <v>western cape</v>
      </c>
      <c r="D136" s="93" t="str">
        <v>premium</v>
      </c>
      <c r="E136" s="93" t="str">
        <v>gross charge</v>
      </c>
      <c r="F136" s="93" t="str">
        <v>gross charge</v>
      </c>
      <c r="G136" s="92">
        <v>3152479.5487955636</v>
      </c>
    </row>
    <row r="137" spans="2:7">
      <c r="B137" s="93" t="str">
        <v>level_2</v>
      </c>
      <c r="C137" s="93" t="str">
        <v>western cape</v>
      </c>
      <c r="D137" s="93" t="str">
        <v>premium</v>
      </c>
      <c r="E137" s="93" t="str">
        <v>net charge</v>
      </c>
      <c r="F137" s="93" t="str">
        <v>net charge</v>
      </c>
      <c r="G137" s="92">
        <v>2875875.569556213</v>
      </c>
    </row>
    <row r="138" spans="2:7">
      <c r="B138" s="93" t="str">
        <v>level_2</v>
      </c>
      <c r="C138" s="93" t="str">
        <v>western cape</v>
      </c>
      <c r="D138" s="93" t="str">
        <v>premium</v>
      </c>
      <c r="E138" s="93" t="str">
        <v>calculated net charge</v>
      </c>
      <c r="F138" s="93" t="str">
        <v>calculated net charge</v>
      </c>
      <c r="G138" s="92">
        <v>2526574.5207635891</v>
      </c>
    </row>
    <row r="139" spans="2:7">
      <c r="B139" s="93" t="str">
        <v>level_2</v>
      </c>
      <c r="C139" s="93" t="str">
        <v>western cape</v>
      </c>
      <c r="D139" s="93" t="str">
        <v>premium</v>
      </c>
      <c r="E139" s="93" t="str">
        <v>counterparty</v>
      </c>
      <c r="F139" s="93" t="str">
        <v>company_a</v>
      </c>
      <c r="G139" s="92">
        <v>230311.21668285318</v>
      </c>
    </row>
    <row r="140" spans="2:7">
      <c r="B140" s="93" t="str">
        <v>level_2</v>
      </c>
      <c r="C140" s="93" t="str">
        <v>western cape</v>
      </c>
      <c r="D140" s="93" t="str">
        <v>premium</v>
      </c>
      <c r="E140" s="93" t="str">
        <v>counterparty</v>
      </c>
      <c r="F140" s="93" t="str">
        <v>company_b</v>
      </c>
      <c r="G140" s="92">
        <v>254329.24085951457</v>
      </c>
    </row>
    <row r="141" spans="2:7">
      <c r="B141" s="93" t="str">
        <v>level_2</v>
      </c>
      <c r="C141" s="93" t="str">
        <v>western cape</v>
      </c>
      <c r="D141" s="93" t="str">
        <v>premium</v>
      </c>
      <c r="E141" s="93" t="str">
        <v>counterparty</v>
      </c>
      <c r="F141" s="93" t="str">
        <v>company_c</v>
      </c>
      <c r="G141" s="92">
        <v>134008.24551120913</v>
      </c>
    </row>
    <row r="142" spans="2:7">
      <c r="B142" s="93" t="str">
        <v>__overall__</v>
      </c>
      <c r="C142" s="93" t="str">
        <v>__overall__</v>
      </c>
      <c r="D142" s="93" t="str">
        <v>reserve</v>
      </c>
      <c r="E142" s="93" t="str">
        <v>gross charge</v>
      </c>
      <c r="F142" s="93" t="str">
        <v>gross charge</v>
      </c>
      <c r="G142" s="92">
        <v>8348933.314350022</v>
      </c>
    </row>
    <row r="143" spans="2:7">
      <c r="B143" s="93" t="str">
        <v>__overall__</v>
      </c>
      <c r="C143" s="93" t="str">
        <v>__overall__</v>
      </c>
      <c r="D143" s="93" t="str">
        <v>reserve</v>
      </c>
      <c r="E143" s="93" t="str">
        <v>net charge</v>
      </c>
      <c r="F143" s="93" t="str">
        <v>net charge</v>
      </c>
      <c r="G143" s="92">
        <v>6952944.639422195</v>
      </c>
    </row>
    <row r="144" spans="2:7">
      <c r="B144" s="93" t="str">
        <v>__overall__</v>
      </c>
      <c r="C144" s="93" t="str">
        <v>__overall__</v>
      </c>
      <c r="D144" s="93" t="str">
        <v>reserve</v>
      </c>
      <c r="E144" s="93" t="str">
        <v>calculated net charge</v>
      </c>
      <c r="F144" s="93" t="str">
        <v>calculated net charge</v>
      </c>
      <c r="G144" s="92">
        <v>7080460.6933393553</v>
      </c>
    </row>
    <row r="145" spans="2:7">
      <c r="B145" s="93" t="str">
        <v>__overall__</v>
      </c>
      <c r="C145" s="93" t="str">
        <v>__overall__</v>
      </c>
      <c r="D145" s="93" t="str">
        <v>reserve</v>
      </c>
      <c r="E145" s="93" t="str">
        <v>counterparty</v>
      </c>
      <c r="F145" s="93" t="str">
        <v>company_a</v>
      </c>
      <c r="G145" s="92">
        <v>542018.91335697845</v>
      </c>
    </row>
    <row r="146" spans="2:7">
      <c r="B146" s="93" t="str">
        <v>__overall__</v>
      </c>
      <c r="C146" s="93" t="str">
        <v>__overall__</v>
      </c>
      <c r="D146" s="93" t="str">
        <v>reserve</v>
      </c>
      <c r="E146" s="93" t="str">
        <v>counterparty</v>
      </c>
      <c r="F146" s="93" t="str">
        <v>company_b</v>
      </c>
      <c r="G146" s="92">
        <v>535085.0132117169</v>
      </c>
    </row>
    <row r="147" spans="2:7">
      <c r="B147" s="93" t="str">
        <v>__overall__</v>
      </c>
      <c r="C147" s="93" t="str">
        <v>__overall__</v>
      </c>
      <c r="D147" s="93" t="str">
        <v>reserve</v>
      </c>
      <c r="E147" s="93" t="str">
        <v>counterparty</v>
      </c>
      <c r="F147" s="93" t="str">
        <v>company_c</v>
      </c>
      <c r="G147" s="92">
        <v>185786.43910978548</v>
      </c>
    </row>
    <row r="148" spans="2:7">
      <c r="B148" s="93" t="str">
        <v>level_1</v>
      </c>
      <c r="C148" s="93" t="str">
        <v>direct</v>
      </c>
      <c r="D148" s="93" t="str">
        <v>reserve</v>
      </c>
      <c r="E148" s="93" t="str">
        <v>gross charge</v>
      </c>
      <c r="F148" s="93" t="str">
        <v>gross charge</v>
      </c>
      <c r="G148" s="92">
        <v>4189174.4311242467</v>
      </c>
    </row>
    <row r="149" spans="2:7">
      <c r="B149" s="93" t="str">
        <v>level_1</v>
      </c>
      <c r="C149" s="93" t="str">
        <v>direct</v>
      </c>
      <c r="D149" s="93" t="str">
        <v>reserve</v>
      </c>
      <c r="E149" s="93" t="str">
        <v>net charge</v>
      </c>
      <c r="F149" s="93" t="str">
        <v>net charge</v>
      </c>
      <c r="G149" s="92">
        <v>3736552.4817765839</v>
      </c>
    </row>
    <row r="150" spans="2:7">
      <c r="B150" s="93" t="str">
        <v>level_1</v>
      </c>
      <c r="C150" s="93" t="str">
        <v>direct</v>
      </c>
      <c r="D150" s="93" t="str">
        <v>reserve</v>
      </c>
      <c r="E150" s="93" t="str">
        <v>calculated net charge</v>
      </c>
      <c r="F150" s="93" t="str">
        <v>calculated net charge</v>
      </c>
      <c r="G150" s="92">
        <v>3775510.9488528189</v>
      </c>
    </row>
    <row r="151" spans="2:7">
      <c r="B151" s="93" t="str">
        <v>level_1</v>
      </c>
      <c r="C151" s="93" t="str">
        <v>direct</v>
      </c>
      <c r="D151" s="93" t="str">
        <v>reserve</v>
      </c>
      <c r="E151" s="93" t="str">
        <v>counterparty</v>
      </c>
      <c r="F151" s="93" t="str">
        <v>company_a</v>
      </c>
      <c r="G151" s="92">
        <v>142715.6140203909</v>
      </c>
    </row>
    <row r="152" spans="2:7">
      <c r="B152" s="93" t="str">
        <v>level_1</v>
      </c>
      <c r="C152" s="93" t="str">
        <v>direct</v>
      </c>
      <c r="D152" s="93" t="str">
        <v>reserve</v>
      </c>
      <c r="E152" s="93" t="str">
        <v>counterparty</v>
      </c>
      <c r="F152" s="93" t="str">
        <v>company_b</v>
      </c>
      <c r="G152" s="92">
        <v>168706.41747342004</v>
      </c>
    </row>
    <row r="153" spans="2:7">
      <c r="B153" s="93" t="str">
        <v>level_1</v>
      </c>
      <c r="C153" s="93" t="str">
        <v>direct</v>
      </c>
      <c r="D153" s="93" t="str">
        <v>reserve</v>
      </c>
      <c r="E153" s="93" t="str">
        <v>counterparty</v>
      </c>
      <c r="F153" s="93" t="str">
        <v>company_c</v>
      </c>
      <c r="G153" s="92">
        <v>99632.113174575381</v>
      </c>
    </row>
    <row r="154" spans="2:7">
      <c r="B154" s="93" t="str">
        <v>level_1</v>
      </c>
      <c r="C154" s="93" t="str">
        <v>intermediated</v>
      </c>
      <c r="D154" s="93" t="str">
        <v>reserve</v>
      </c>
      <c r="E154" s="93" t="str">
        <v>gross charge</v>
      </c>
      <c r="F154" s="93" t="str">
        <v>gross charge</v>
      </c>
      <c r="G154" s="92">
        <v>1588930.1932599782</v>
      </c>
    </row>
    <row r="155" spans="2:7">
      <c r="B155" s="93" t="str">
        <v>level_1</v>
      </c>
      <c r="C155" s="93" t="str">
        <v>intermediated</v>
      </c>
      <c r="D155" s="93" t="str">
        <v>reserve</v>
      </c>
      <c r="E155" s="93" t="str">
        <v>net charge</v>
      </c>
      <c r="F155" s="93" t="str">
        <v>net charge</v>
      </c>
      <c r="G155" s="92">
        <v>1093290.552658394</v>
      </c>
    </row>
    <row r="156" spans="2:7">
      <c r="B156" s="93" t="str">
        <v>level_1</v>
      </c>
      <c r="C156" s="93" t="str">
        <v>intermediated</v>
      </c>
      <c r="D156" s="93" t="str">
        <v>reserve</v>
      </c>
      <c r="E156" s="93" t="str">
        <v>calculated net charge</v>
      </c>
      <c r="F156" s="93" t="str">
        <v>calculated net charge</v>
      </c>
      <c r="G156" s="92">
        <v>1138322.5655842416</v>
      </c>
    </row>
    <row r="157" spans="2:7">
      <c r="B157" s="93" t="str">
        <v>level_1</v>
      </c>
      <c r="C157" s="93" t="str">
        <v>intermediated</v>
      </c>
      <c r="D157" s="93" t="str">
        <v>reserve</v>
      </c>
      <c r="E157" s="93" t="str">
        <v>counterparty</v>
      </c>
      <c r="F157" s="93" t="str">
        <v>company_a</v>
      </c>
      <c r="G157" s="92">
        <v>213571.96596788056</v>
      </c>
    </row>
    <row r="158" spans="2:7">
      <c r="B158" s="93" t="str">
        <v>level_1</v>
      </c>
      <c r="C158" s="93" t="str">
        <v>intermediated</v>
      </c>
      <c r="D158" s="93" t="str">
        <v>reserve</v>
      </c>
      <c r="E158" s="93" t="str">
        <v>counterparty</v>
      </c>
      <c r="F158" s="93" t="str">
        <v>company_b</v>
      </c>
      <c r="G158" s="92">
        <v>190937.76689279196</v>
      </c>
    </row>
    <row r="159" spans="2:7">
      <c r="B159" s="93" t="str">
        <v>level_1</v>
      </c>
      <c r="C159" s="93" t="str">
        <v>intermediated</v>
      </c>
      <c r="D159" s="93" t="str">
        <v>reserve</v>
      </c>
      <c r="E159" s="93" t="str">
        <v>counterparty</v>
      </c>
      <c r="F159" s="93" t="str">
        <v>company_c</v>
      </c>
      <c r="G159" s="92">
        <v>41038.739442195976</v>
      </c>
    </row>
    <row r="160" spans="2:7">
      <c r="B160" s="93" t="str">
        <v>level_1</v>
      </c>
      <c r="C160" s="93" t="str">
        <v>partnerships</v>
      </c>
      <c r="D160" s="93" t="str">
        <v>reserve</v>
      </c>
      <c r="E160" s="93" t="str">
        <v>gross charge</v>
      </c>
      <c r="F160" s="93" t="str">
        <v>gross charge</v>
      </c>
      <c r="G160" s="92">
        <v>201761.33670000001</v>
      </c>
    </row>
    <row r="161" spans="2:7">
      <c r="B161" s="93" t="str">
        <v>level_1</v>
      </c>
      <c r="C161" s="93" t="str">
        <v>partnerships</v>
      </c>
      <c r="D161" s="93" t="str">
        <v>reserve</v>
      </c>
      <c r="E161" s="93" t="str">
        <v>net charge</v>
      </c>
      <c r="F161" s="93" t="str">
        <v>net charge</v>
      </c>
      <c r="G161" s="92">
        <v>201761.33670000001</v>
      </c>
    </row>
    <row r="162" spans="2:7">
      <c r="B162" s="93" t="str">
        <v>level_1</v>
      </c>
      <c r="C162" s="93" t="str">
        <v>partnerships</v>
      </c>
      <c r="D162" s="93" t="str">
        <v>reserve</v>
      </c>
      <c r="E162" s="93" t="str">
        <v>calculated net charge</v>
      </c>
      <c r="F162" s="93" t="str">
        <v>calculated net charge</v>
      </c>
      <c r="G162" s="92">
        <v>201761.33670000001</v>
      </c>
    </row>
    <row r="163" spans="2:7">
      <c r="B163" s="93" t="str">
        <v>level_1</v>
      </c>
      <c r="C163" s="93" t="str">
        <v>specialised</v>
      </c>
      <c r="D163" s="93" t="str">
        <v>reserve</v>
      </c>
      <c r="E163" s="93" t="str">
        <v>gross charge</v>
      </c>
      <c r="F163" s="93" t="str">
        <v>gross charge</v>
      </c>
      <c r="G163" s="92">
        <v>3034129.9573273254</v>
      </c>
    </row>
    <row r="164" spans="2:7">
      <c r="B164" s="93" t="str">
        <v>level_1</v>
      </c>
      <c r="C164" s="93" t="str">
        <v>specialised</v>
      </c>
      <c r="D164" s="93" t="str">
        <v>reserve</v>
      </c>
      <c r="E164" s="93" t="str">
        <v>net charge</v>
      </c>
      <c r="F164" s="93" t="str">
        <v>net charge</v>
      </c>
      <c r="G164" s="92">
        <v>2455405.5779135581</v>
      </c>
    </row>
    <row r="165" spans="2:7">
      <c r="B165" s="93" t="str">
        <v>level_1</v>
      </c>
      <c r="C165" s="93" t="str">
        <v>specialised</v>
      </c>
      <c r="D165" s="93" t="str">
        <v>reserve</v>
      </c>
      <c r="E165" s="93" t="str">
        <v>calculated net charge</v>
      </c>
      <c r="F165" s="93" t="str">
        <v>calculated net charge</v>
      </c>
      <c r="G165" s="92">
        <v>2507018.5387761025</v>
      </c>
    </row>
    <row r="166" spans="2:7">
      <c r="B166" s="93" t="str">
        <v>level_1</v>
      </c>
      <c r="C166" s="93" t="str">
        <v>specialised</v>
      </c>
      <c r="D166" s="93" t="str">
        <v>reserve</v>
      </c>
      <c r="E166" s="93" t="str">
        <v>counterparty</v>
      </c>
      <c r="F166" s="93" t="str">
        <v>company_a</v>
      </c>
      <c r="G166" s="92">
        <v>235844.10092952661</v>
      </c>
    </row>
    <row r="167" spans="2:7">
      <c r="B167" s="93" t="str">
        <v>level_1</v>
      </c>
      <c r="C167" s="93" t="str">
        <v>specialised</v>
      </c>
      <c r="D167" s="93" t="str">
        <v>reserve</v>
      </c>
      <c r="E167" s="93" t="str">
        <v>counterparty</v>
      </c>
      <c r="F167" s="93" t="str">
        <v>company_b</v>
      </c>
      <c r="G167" s="92">
        <v>220388.08140829438</v>
      </c>
    </row>
    <row r="168" spans="2:7">
      <c r="B168" s="93" t="str">
        <v>level_1</v>
      </c>
      <c r="C168" s="93" t="str">
        <v>specialised</v>
      </c>
      <c r="D168" s="93" t="str">
        <v>reserve</v>
      </c>
      <c r="E168" s="93" t="str">
        <v>counterparty</v>
      </c>
      <c r="F168" s="93" t="str">
        <v>company_c</v>
      </c>
      <c r="G168" s="92">
        <v>61224.765188174788</v>
      </c>
    </row>
    <row r="169" spans="2:7">
      <c r="B169" s="93" t="str">
        <v>level_2</v>
      </c>
      <c r="C169" s="93" t="str">
        <v>gauteng</v>
      </c>
      <c r="D169" s="93" t="str">
        <v>reserve</v>
      </c>
      <c r="E169" s="93" t="str">
        <v>gross charge</v>
      </c>
      <c r="F169" s="93" t="str">
        <v>gross charge</v>
      </c>
      <c r="G169" s="92">
        <v>578086.5970245793</v>
      </c>
    </row>
    <row r="170" spans="2:7">
      <c r="B170" s="93" t="str">
        <v>level_2</v>
      </c>
      <c r="C170" s="93" t="str">
        <v>gauteng</v>
      </c>
      <c r="D170" s="93" t="str">
        <v>reserve</v>
      </c>
      <c r="E170" s="93" t="str">
        <v>net charge</v>
      </c>
      <c r="F170" s="93" t="str">
        <v>net charge</v>
      </c>
      <c r="G170" s="92">
        <v>289043.29851228965</v>
      </c>
    </row>
    <row r="171" spans="2:7">
      <c r="B171" s="93" t="str">
        <v>level_2</v>
      </c>
      <c r="C171" s="93" t="str">
        <v>gauteng</v>
      </c>
      <c r="D171" s="93" t="str">
        <v>reserve</v>
      </c>
      <c r="E171" s="93" t="str">
        <v>calculated net charge</v>
      </c>
      <c r="F171" s="93" t="str">
        <v>calculated net charge</v>
      </c>
      <c r="G171" s="92">
        <v>317947.62836351863</v>
      </c>
    </row>
    <row r="172" spans="2:7">
      <c r="B172" s="93" t="str">
        <v>level_2</v>
      </c>
      <c r="C172" s="93" t="str">
        <v>gauteng</v>
      </c>
      <c r="D172" s="93" t="str">
        <v>reserve</v>
      </c>
      <c r="E172" s="93" t="str">
        <v>counterparty</v>
      </c>
      <c r="F172" s="93" t="str">
        <v>company_a</v>
      </c>
      <c r="G172" s="92">
        <v>144521.64925614488</v>
      </c>
    </row>
    <row r="173" spans="2:7">
      <c r="B173" s="93" t="str">
        <v>level_2</v>
      </c>
      <c r="C173" s="93" t="str">
        <v>gauteng</v>
      </c>
      <c r="D173" s="93" t="str">
        <v>reserve</v>
      </c>
      <c r="E173" s="93" t="str">
        <v>counterparty</v>
      </c>
      <c r="F173" s="93" t="str">
        <v>company_b</v>
      </c>
      <c r="G173" s="92">
        <v>115617.31940491585</v>
      </c>
    </row>
    <row r="174" spans="2:7">
      <c r="B174" s="93" t="str">
        <v>level_2</v>
      </c>
      <c r="C174" s="93" t="str">
        <v>kzn</v>
      </c>
      <c r="D174" s="93" t="str">
        <v>reserve</v>
      </c>
      <c r="E174" s="93" t="str">
        <v>gross charge</v>
      </c>
      <c r="F174" s="93" t="str">
        <v>gross charge</v>
      </c>
      <c r="G174" s="92">
        <v>301841.24378533068</v>
      </c>
    </row>
    <row r="175" spans="2:7">
      <c r="B175" s="93" t="str">
        <v>level_2</v>
      </c>
      <c r="C175" s="93" t="str">
        <v>kzn</v>
      </c>
      <c r="D175" s="93" t="str">
        <v>reserve</v>
      </c>
      <c r="E175" s="93" t="str">
        <v>net charge</v>
      </c>
      <c r="F175" s="93" t="str">
        <v>net charge</v>
      </c>
      <c r="G175" s="92">
        <v>301841.24378533068</v>
      </c>
    </row>
    <row r="176" spans="2:7">
      <c r="B176" s="93" t="str">
        <v>level_2</v>
      </c>
      <c r="C176" s="93" t="str">
        <v>kzn</v>
      </c>
      <c r="D176" s="93" t="str">
        <v>reserve</v>
      </c>
      <c r="E176" s="93" t="str">
        <v>calculated net charge</v>
      </c>
      <c r="F176" s="93" t="str">
        <v>calculated net charge</v>
      </c>
      <c r="G176" s="92">
        <v>301841.24378533068</v>
      </c>
    </row>
    <row r="177" spans="2:7">
      <c r="B177" s="93" t="str">
        <v>level_2</v>
      </c>
      <c r="C177" s="93" t="str">
        <v>limpopo</v>
      </c>
      <c r="D177" s="93" t="str">
        <v>reserve</v>
      </c>
      <c r="E177" s="93" t="str">
        <v>gross charge</v>
      </c>
      <c r="F177" s="93" t="str">
        <v>gross charge</v>
      </c>
      <c r="G177" s="92">
        <v>1720299.7698258434</v>
      </c>
    </row>
    <row r="178" spans="2:7">
      <c r="B178" s="93" t="str">
        <v>level_2</v>
      </c>
      <c r="C178" s="93" t="str">
        <v>limpopo</v>
      </c>
      <c r="D178" s="93" t="str">
        <v>reserve</v>
      </c>
      <c r="E178" s="93" t="str">
        <v>net charge</v>
      </c>
      <c r="F178" s="93" t="str">
        <v>net charge</v>
      </c>
      <c r="G178" s="92">
        <v>1585929.9032224701</v>
      </c>
    </row>
    <row r="179" spans="2:7">
      <c r="B179" s="93" t="str">
        <v>level_2</v>
      </c>
      <c r="C179" s="93" t="str">
        <v>limpopo</v>
      </c>
      <c r="D179" s="93" t="str">
        <v>reserve</v>
      </c>
      <c r="E179" s="93" t="str">
        <v>calculated net charge</v>
      </c>
      <c r="F179" s="93" t="str">
        <v>calculated net charge</v>
      </c>
      <c r="G179" s="92">
        <v>1594785.1947030118</v>
      </c>
    </row>
    <row r="180" spans="2:7">
      <c r="B180" s="93" t="str">
        <v>level_2</v>
      </c>
      <c r="C180" s="93" t="str">
        <v>limpopo</v>
      </c>
      <c r="D180" s="93" t="str">
        <v>reserve</v>
      </c>
      <c r="E180" s="93" t="str">
        <v>counterparty</v>
      </c>
      <c r="F180" s="93" t="str">
        <v>company_b</v>
      </c>
      <c r="G180" s="92">
        <v>44507.315890196478</v>
      </c>
    </row>
    <row r="181" spans="2:7">
      <c r="B181" s="93" t="str">
        <v>level_2</v>
      </c>
      <c r="C181" s="93" t="str">
        <v>limpopo</v>
      </c>
      <c r="D181" s="93" t="str">
        <v>reserve</v>
      </c>
      <c r="E181" s="93" t="str">
        <v>counterparty</v>
      </c>
      <c r="F181" s="93" t="str">
        <v>company_c</v>
      </c>
      <c r="G181" s="92">
        <v>80375.458942173049</v>
      </c>
    </row>
    <row r="182" spans="2:7">
      <c r="B182" s="93" t="str">
        <v>level_2</v>
      </c>
      <c r="C182" s="93" t="str">
        <v>north west</v>
      </c>
      <c r="D182" s="93" t="str">
        <v>reserve</v>
      </c>
      <c r="E182" s="93" t="str">
        <v>gross charge</v>
      </c>
      <c r="F182" s="93" t="str">
        <v>gross charge</v>
      </c>
      <c r="G182" s="92">
        <v>1685290.9192192103</v>
      </c>
    </row>
    <row r="183" spans="2:7">
      <c r="B183" s="93" t="str">
        <v>level_2</v>
      </c>
      <c r="C183" s="93" t="str">
        <v>north west</v>
      </c>
      <c r="D183" s="93" t="str">
        <v>reserve</v>
      </c>
      <c r="E183" s="93" t="str">
        <v>net charge</v>
      </c>
      <c r="F183" s="93" t="str">
        <v>net charge</v>
      </c>
      <c r="G183" s="92">
        <v>1327861.4670349215</v>
      </c>
    </row>
    <row r="184" spans="2:7">
      <c r="B184" s="93" t="str">
        <v>level_2</v>
      </c>
      <c r="C184" s="93" t="str">
        <v>north west</v>
      </c>
      <c r="D184" s="93" t="str">
        <v>reserve</v>
      </c>
      <c r="E184" s="93" t="str">
        <v>calculated net charge</v>
      </c>
      <c r="F184" s="93" t="str">
        <v>calculated net charge</v>
      </c>
      <c r="G184" s="92">
        <v>1360981.9501292994</v>
      </c>
    </row>
    <row r="185" spans="2:7">
      <c r="B185" s="93" t="str">
        <v>level_2</v>
      </c>
      <c r="C185" s="93" t="str">
        <v>north west</v>
      </c>
      <c r="D185" s="93" t="str">
        <v>reserve</v>
      </c>
      <c r="E185" s="93" t="str">
        <v>counterparty</v>
      </c>
      <c r="F185" s="93" t="str">
        <v>company_a</v>
      </c>
      <c r="G185" s="92">
        <v>175147.81622161414</v>
      </c>
    </row>
    <row r="186" spans="2:7">
      <c r="B186" s="93" t="str">
        <v>level_2</v>
      </c>
      <c r="C186" s="93" t="str">
        <v>north west</v>
      </c>
      <c r="D186" s="93" t="str">
        <v>reserve</v>
      </c>
      <c r="E186" s="93" t="str">
        <v>counterparty</v>
      </c>
      <c r="F186" s="93" t="str">
        <v>company_b</v>
      </c>
      <c r="G186" s="92">
        <v>138992.80216928618</v>
      </c>
    </row>
    <row r="187" spans="2:7">
      <c r="B187" s="93" t="str">
        <v>level_2</v>
      </c>
      <c r="C187" s="93" t="str">
        <v>eastern cape</v>
      </c>
      <c r="D187" s="93" t="str">
        <v>reserve</v>
      </c>
      <c r="E187" s="93" t="str">
        <v>gross charge</v>
      </c>
      <c r="F187" s="93" t="str">
        <v>gross charge</v>
      </c>
      <c r="G187" s="92">
        <v>1027948.0971655734</v>
      </c>
    </row>
    <row r="188" spans="2:7">
      <c r="B188" s="93" t="str">
        <v>level_2</v>
      </c>
      <c r="C188" s="93" t="str">
        <v>eastern cape</v>
      </c>
      <c r="D188" s="93" t="str">
        <v>reserve</v>
      </c>
      <c r="E188" s="93" t="str">
        <v>net charge</v>
      </c>
      <c r="F188" s="93" t="str">
        <v>net charge</v>
      </c>
      <c r="G188" s="92">
        <v>947334.54987405194</v>
      </c>
    </row>
    <row r="189" spans="2:7">
      <c r="B189" s="93" t="str">
        <v>level_2</v>
      </c>
      <c r="C189" s="93" t="str">
        <v>eastern cape</v>
      </c>
      <c r="D189" s="93" t="str">
        <v>reserve</v>
      </c>
      <c r="E189" s="93" t="str">
        <v>calculated net charge</v>
      </c>
      <c r="F189" s="93" t="str">
        <v>calculated net charge</v>
      </c>
      <c r="G189" s="92">
        <v>952618.01922201412</v>
      </c>
    </row>
    <row r="190" spans="2:7">
      <c r="B190" s="93" t="str">
        <v>level_2</v>
      </c>
      <c r="C190" s="93" t="str">
        <v>eastern cape</v>
      </c>
      <c r="D190" s="93" t="str">
        <v>reserve</v>
      </c>
      <c r="E190" s="93" t="str">
        <v>counterparty</v>
      </c>
      <c r="F190" s="93" t="str">
        <v>company_b</v>
      </c>
      <c r="G190" s="92">
        <v>26621.408536268864</v>
      </c>
    </row>
    <row r="191" spans="2:7">
      <c r="B191" s="93" t="str">
        <v>level_2</v>
      </c>
      <c r="C191" s="93" t="str">
        <v>eastern cape</v>
      </c>
      <c r="D191" s="93" t="str">
        <v>reserve</v>
      </c>
      <c r="E191" s="93" t="str">
        <v>counterparty</v>
      </c>
      <c r="F191" s="93" t="str">
        <v>company_c</v>
      </c>
      <c r="G191" s="92">
        <v>48150.356860960717</v>
      </c>
    </row>
    <row r="192" spans="2:7">
      <c r="B192" s="93" t="str">
        <v>level_2</v>
      </c>
      <c r="C192" s="93" t="str">
        <v>free state</v>
      </c>
      <c r="D192" s="93" t="str">
        <v>reserve</v>
      </c>
      <c r="E192" s="93" t="str">
        <v>gross charge</v>
      </c>
      <c r="F192" s="93" t="str">
        <v>gross charge</v>
      </c>
      <c r="G192" s="92">
        <v>1164469.3237679324</v>
      </c>
    </row>
    <row r="193" spans="2:7">
      <c r="B193" s="93" t="str">
        <v>level_2</v>
      </c>
      <c r="C193" s="93" t="str">
        <v>free state</v>
      </c>
      <c r="D193" s="93" t="str">
        <v>reserve</v>
      </c>
      <c r="E193" s="93" t="str">
        <v>net charge</v>
      </c>
      <c r="F193" s="93" t="str">
        <v>net charge</v>
      </c>
      <c r="G193" s="92">
        <v>954163.31322392577</v>
      </c>
    </row>
    <row r="194" spans="2:7">
      <c r="B194" s="93" t="str">
        <v>level_2</v>
      </c>
      <c r="C194" s="93" t="str">
        <v>free state</v>
      </c>
      <c r="D194" s="93" t="str">
        <v>reserve</v>
      </c>
      <c r="E194" s="93" t="str">
        <v>calculated net charge</v>
      </c>
      <c r="F194" s="93" t="str">
        <v>calculated net charge</v>
      </c>
      <c r="G194" s="92">
        <v>971760.54279439407</v>
      </c>
    </row>
    <row r="195" spans="2:7">
      <c r="B195" s="93" t="str">
        <v>level_2</v>
      </c>
      <c r="C195" s="93" t="str">
        <v>free state</v>
      </c>
      <c r="D195" s="93" t="str">
        <v>reserve</v>
      </c>
      <c r="E195" s="93" t="str">
        <v>counterparty</v>
      </c>
      <c r="F195" s="93" t="str">
        <v>company_a</v>
      </c>
      <c r="G195" s="92">
        <v>63764.782872602693</v>
      </c>
    </row>
    <row r="196" spans="2:7">
      <c r="B196" s="93" t="str">
        <v>level_2</v>
      </c>
      <c r="C196" s="93" t="str">
        <v>free state</v>
      </c>
      <c r="D196" s="93" t="str">
        <v>reserve</v>
      </c>
      <c r="E196" s="93" t="str">
        <v>counterparty</v>
      </c>
      <c r="F196" s="93" t="str">
        <v>company_b</v>
      </c>
      <c r="G196" s="92">
        <v>77626.177330386126</v>
      </c>
    </row>
    <row r="197" spans="2:7">
      <c r="B197" s="93" t="str">
        <v>level_2</v>
      </c>
      <c r="C197" s="93" t="str">
        <v>free state</v>
      </c>
      <c r="D197" s="93" t="str">
        <v>reserve</v>
      </c>
      <c r="E197" s="93" t="str">
        <v>counterparty</v>
      </c>
      <c r="F197" s="93" t="str">
        <v>company_c</v>
      </c>
      <c r="G197" s="92">
        <v>50222.69607973774</v>
      </c>
    </row>
    <row r="198" spans="2:7">
      <c r="B198" s="93" t="str">
        <v>level_2</v>
      </c>
      <c r="C198" s="93" t="str">
        <v>northern cape</v>
      </c>
      <c r="D198" s="93" t="str">
        <v>reserve</v>
      </c>
      <c r="E198" s="93" t="str">
        <v>gross charge</v>
      </c>
      <c r="F198" s="93" t="str">
        <v>gross charge</v>
      </c>
      <c r="G198" s="92">
        <v>1694783.402692073</v>
      </c>
    </row>
    <row r="199" spans="2:7">
      <c r="B199" s="93" t="str">
        <v>level_2</v>
      </c>
      <c r="C199" s="93" t="str">
        <v>northern cape</v>
      </c>
      <c r="D199" s="93" t="str">
        <v>reserve</v>
      </c>
      <c r="E199" s="93" t="str">
        <v>net charge</v>
      </c>
      <c r="F199" s="93" t="str">
        <v>net charge</v>
      </c>
      <c r="G199" s="92">
        <v>1630385.5219585015</v>
      </c>
    </row>
    <row r="200" spans="2:7">
      <c r="B200" s="93" t="str">
        <v>level_2</v>
      </c>
      <c r="C200" s="93" t="str">
        <v>northern cape</v>
      </c>
      <c r="D200" s="93" t="str">
        <v>reserve</v>
      </c>
      <c r="E200" s="93" t="str">
        <v>calculated net charge</v>
      </c>
      <c r="F200" s="93" t="str">
        <v>calculated net charge</v>
      </c>
      <c r="G200" s="92">
        <v>1636426.4653383472</v>
      </c>
    </row>
    <row r="201" spans="2:7">
      <c r="B201" s="93" t="str">
        <v>level_2</v>
      </c>
      <c r="C201" s="93" t="str">
        <v>northern cape</v>
      </c>
      <c r="D201" s="93" t="str">
        <v>reserve</v>
      </c>
      <c r="E201" s="93" t="str">
        <v>counterparty</v>
      </c>
      <c r="F201" s="93" t="str">
        <v>company_a</v>
      </c>
      <c r="G201" s="92">
        <v>31554.519010415766</v>
      </c>
    </row>
    <row r="202" spans="2:7">
      <c r="B202" s="93" t="str">
        <v>level_2</v>
      </c>
      <c r="C202" s="93" t="str">
        <v>northern cape</v>
      </c>
      <c r="D202" s="93" t="str">
        <v>reserve</v>
      </c>
      <c r="E202" s="93" t="str">
        <v>counterparty</v>
      </c>
      <c r="F202" s="93" t="str">
        <v>company_b</v>
      </c>
      <c r="G202" s="92">
        <v>25067.03522609151</v>
      </c>
    </row>
    <row r="203" spans="2:7">
      <c r="B203" s="93" t="str">
        <v>level_2</v>
      </c>
      <c r="C203" s="93" t="str">
        <v>western cape</v>
      </c>
      <c r="D203" s="93" t="str">
        <v>reserve</v>
      </c>
      <c r="E203" s="93" t="str">
        <v>gross charge</v>
      </c>
      <c r="F203" s="93" t="str">
        <v>gross charge</v>
      </c>
      <c r="G203" s="92">
        <v>1921217.4908788721</v>
      </c>
    </row>
    <row r="204" spans="2:7">
      <c r="B204" s="93" t="str">
        <v>level_2</v>
      </c>
      <c r="C204" s="93" t="str">
        <v>western cape</v>
      </c>
      <c r="D204" s="93" t="str">
        <v>reserve</v>
      </c>
      <c r="E204" s="93" t="str">
        <v>net charge</v>
      </c>
      <c r="F204" s="93" t="str">
        <v>net charge</v>
      </c>
      <c r="G204" s="92">
        <v>1301647.7358448131</v>
      </c>
    </row>
    <row r="205" spans="2:7">
      <c r="B205" s="93" t="str">
        <v>level_2</v>
      </c>
      <c r="C205" s="93" t="str">
        <v>western cape</v>
      </c>
      <c r="D205" s="93" t="str">
        <v>reserve</v>
      </c>
      <c r="E205" s="93" t="str">
        <v>calculated net charge</v>
      </c>
      <c r="F205" s="93" t="str">
        <v>calculated net charge</v>
      </c>
      <c r="G205" s="92">
        <v>1358090.1232993316</v>
      </c>
    </row>
    <row r="206" spans="2:7">
      <c r="B206" s="93" t="str">
        <v>level_2</v>
      </c>
      <c r="C206" s="93" t="str">
        <v>western cape</v>
      </c>
      <c r="D206" s="93" t="str">
        <v>reserve</v>
      </c>
      <c r="E206" s="93" t="str">
        <v>counterparty</v>
      </c>
      <c r="F206" s="93" t="str">
        <v>company_a</v>
      </c>
      <c r="G206" s="92">
        <v>268643.93839389295</v>
      </c>
    </row>
    <row r="207" spans="2:7">
      <c r="B207" s="93" t="str">
        <v>level_2</v>
      </c>
      <c r="C207" s="93" t="str">
        <v>western cape</v>
      </c>
      <c r="D207" s="93" t="str">
        <v>reserve</v>
      </c>
      <c r="E207" s="93" t="str">
        <v>counterparty</v>
      </c>
      <c r="F207" s="93" t="str">
        <v>company_b</v>
      </c>
      <c r="G207" s="92">
        <v>239018.74266158533</v>
      </c>
    </row>
    <row r="208" spans="2:7">
      <c r="B208" s="96" t="str">
        <v>level_2</v>
      </c>
      <c r="C208" s="96" t="str">
        <v>western cape</v>
      </c>
      <c r="D208" s="96" t="str">
        <v>reserve</v>
      </c>
      <c r="E208" s="96" t="str">
        <v>counterparty</v>
      </c>
      <c r="F208" s="96" t="str">
        <v>company_c</v>
      </c>
      <c r="G208" s="97">
        <v>49953.403941628756</v>
      </c>
    </row>
    <row r="209" spans="2:7">
      <c r="B209" s="94"/>
      <c r="C209" s="94"/>
      <c r="D209" s="94"/>
      <c r="E209" s="94"/>
      <c r="F209" s="94"/>
      <c r="G209" s="87"/>
    </row>
    <row r="210" spans="2:7">
      <c r="B210" s="4"/>
      <c r="C210" s="4"/>
      <c r="D210" s="4"/>
      <c r="E210" s="4"/>
      <c r="F210" s="4"/>
      <c r="G210" s="13"/>
    </row>
    <row r="211" spans="2:7">
      <c r="B211" s="4"/>
      <c r="C211" s="4"/>
      <c r="D211" s="4"/>
      <c r="E211" s="4"/>
      <c r="F211" s="4"/>
      <c r="G211" s="13"/>
    </row>
    <row r="212" spans="2:7">
      <c r="B212" s="4"/>
      <c r="C212" s="4"/>
      <c r="D212" s="4"/>
      <c r="E212" s="4"/>
      <c r="F212" s="4"/>
      <c r="G212" s="13"/>
    </row>
    <row r="213" spans="2:7">
      <c r="B213" s="4"/>
      <c r="C213" s="4"/>
      <c r="D213" s="4"/>
      <c r="E213" s="4"/>
      <c r="F213" s="4"/>
      <c r="G213" s="13"/>
    </row>
    <row r="214" spans="2:7">
      <c r="B214" s="4"/>
      <c r="C214" s="4"/>
      <c r="D214" s="4"/>
      <c r="E214" s="4"/>
      <c r="F214" s="4"/>
      <c r="G214" s="13"/>
    </row>
    <row r="215" spans="2:7">
      <c r="B215" s="4"/>
      <c r="C215" s="4"/>
      <c r="D215" s="4"/>
      <c r="E215" s="4"/>
      <c r="F215" s="4"/>
      <c r="G215" s="13"/>
    </row>
    <row r="216" spans="2:7">
      <c r="B216" s="4"/>
      <c r="C216" s="4"/>
      <c r="D216" s="4"/>
      <c r="E216" s="4"/>
      <c r="F216" s="4"/>
      <c r="G216" s="13"/>
    </row>
    <row r="217" spans="2:7">
      <c r="B217" s="4"/>
      <c r="C217" s="4"/>
      <c r="D217" s="4"/>
      <c r="E217" s="4"/>
      <c r="F217" s="4"/>
      <c r="G217" s="13"/>
    </row>
    <row r="218" spans="2:7">
      <c r="B218" s="4"/>
      <c r="C218" s="4"/>
      <c r="D218" s="4"/>
      <c r="E218" s="4"/>
      <c r="F218" s="4"/>
      <c r="G218" s="13"/>
    </row>
    <row r="219" spans="2:7">
      <c r="B219" s="4"/>
      <c r="C219" s="4"/>
      <c r="D219" s="4"/>
      <c r="E219" s="4"/>
      <c r="F219" s="4"/>
      <c r="G219" s="13"/>
    </row>
    <row r="220" spans="2:7">
      <c r="B220" s="4"/>
      <c r="C220" s="4"/>
      <c r="D220" s="4"/>
      <c r="E220" s="4"/>
      <c r="F220" s="4"/>
      <c r="G220" s="13"/>
    </row>
    <row r="221" spans="2:7">
      <c r="B221" s="4"/>
      <c r="C221" s="4"/>
      <c r="D221" s="4"/>
      <c r="E221" s="4"/>
      <c r="F221" s="4"/>
      <c r="G221" s="13"/>
    </row>
    <row r="222" spans="2:7">
      <c r="B222" s="4"/>
      <c r="C222" s="4"/>
      <c r="D222" s="4"/>
      <c r="E222" s="4"/>
      <c r="F222" s="4"/>
      <c r="G222" s="13"/>
    </row>
    <row r="223" spans="2:7">
      <c r="B223" s="7"/>
      <c r="C223" s="7"/>
      <c r="D223" s="7"/>
      <c r="E223" s="7"/>
      <c r="F223" s="7"/>
      <c r="G223" s="86"/>
    </row>
  </sheetData>
  <mergeCells count="2">
    <mergeCell ref="I5:N5"/>
    <mergeCell ref="B5:G5"/>
  </mergeCells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C339-4BDE-4F9B-88A9-EA3FFE177C54}">
  <sheetPr codeName="Sheet5">
    <tabColor theme="9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2957B-EC79-4071-923E-F075DEDB386C}">
  <sheetPr codeName="Sheet30"/>
  <dimension ref="A1:AQ46"/>
  <sheetViews>
    <sheetView topLeftCell="O6" workbookViewId="0">
      <selection activeCell="AQ14" sqref="AQ14"/>
    </sheetView>
  </sheetViews>
  <sheetFormatPr defaultRowHeight="14.5"/>
  <sheetData>
    <row r="1" spans="1:43">
      <c r="A1" t="str" cm="1">
        <f t="array" aca="1" ref="A1" ca="1">CELL("filename",A1)</f>
        <v>C:\Sync\git_hub\vba_samplicity\[01_magnus_premres.xlsm]Correlation Matrix</v>
      </c>
    </row>
    <row r="2" spans="1:43">
      <c r="A2" s="14" t="s">
        <v>256</v>
      </c>
    </row>
    <row r="3" spans="1:43">
      <c r="A3" s="14" t="s">
        <v>204</v>
      </c>
    </row>
    <row r="7" spans="1:43">
      <c r="B7" s="49" t="str" cm="1">
        <f t="array" ref="B7:AN7">TRANSPOSE(A8:A46)</f>
        <v>1a</v>
      </c>
      <c r="C7" s="49" t="str">
        <v>1b</v>
      </c>
      <c r="D7" s="49" t="str">
        <v>2a</v>
      </c>
      <c r="E7" s="49" t="str">
        <v>2b</v>
      </c>
      <c r="F7" s="49" t="str">
        <v>3i</v>
      </c>
      <c r="G7" s="49" t="str">
        <v>3ii</v>
      </c>
      <c r="H7" s="49" t="str">
        <v>3iii</v>
      </c>
      <c r="I7" s="49" t="str">
        <v>4i</v>
      </c>
      <c r="J7" s="49" t="str">
        <v>4ii</v>
      </c>
      <c r="K7" s="49" t="str">
        <v>5i</v>
      </c>
      <c r="L7" s="49" t="str">
        <v>5ii</v>
      </c>
      <c r="M7" s="49" t="str">
        <v>6i</v>
      </c>
      <c r="N7" s="49" t="str">
        <v>6ii</v>
      </c>
      <c r="O7" s="49" t="str">
        <v>7i</v>
      </c>
      <c r="P7" s="49" t="str">
        <v>7ii</v>
      </c>
      <c r="Q7" s="49" t="str">
        <v>8i</v>
      </c>
      <c r="R7" s="49" t="str">
        <v>8ii</v>
      </c>
      <c r="S7" s="49" t="str">
        <v>9</v>
      </c>
      <c r="T7" s="49" t="str">
        <v>10i</v>
      </c>
      <c r="U7" s="49" t="str">
        <v>10ii</v>
      </c>
      <c r="V7" s="49" t="str">
        <v>10iii</v>
      </c>
      <c r="W7" s="49" t="str">
        <v>10iv</v>
      </c>
      <c r="X7" s="49" t="str">
        <v>10v</v>
      </c>
      <c r="Y7" s="49" t="str">
        <v>10vi</v>
      </c>
      <c r="Z7" s="49" t="str">
        <v>10vii</v>
      </c>
      <c r="AA7" s="49" t="str">
        <v>11</v>
      </c>
      <c r="AB7" s="49" t="str">
        <v>12</v>
      </c>
      <c r="AC7" s="49" t="str">
        <v>13</v>
      </c>
      <c r="AD7" s="49" t="str">
        <v>14</v>
      </c>
      <c r="AE7" s="49" t="str">
        <v>15</v>
      </c>
      <c r="AF7" s="49" t="str">
        <v>16i</v>
      </c>
      <c r="AG7" s="49" t="str">
        <v>16ii</v>
      </c>
      <c r="AH7" s="49" t="str">
        <v>16iii</v>
      </c>
      <c r="AI7" s="49" t="str">
        <v>17i</v>
      </c>
      <c r="AJ7" s="49" t="str">
        <v>17ii</v>
      </c>
      <c r="AK7" s="49" t="str">
        <v>17iii</v>
      </c>
      <c r="AL7" s="49" t="str">
        <v>17iv</v>
      </c>
      <c r="AM7" s="49" t="str">
        <v>18b</v>
      </c>
      <c r="AN7" s="49" t="str">
        <v>18c</v>
      </c>
      <c r="AP7" t="s">
        <v>521</v>
      </c>
      <c r="AQ7" t="s">
        <v>523</v>
      </c>
    </row>
    <row r="8" spans="1:43">
      <c r="A8" s="50" t="s">
        <v>21</v>
      </c>
      <c r="B8">
        <v>1</v>
      </c>
      <c r="AP8" t="s">
        <v>522</v>
      </c>
      <c r="AQ8" t="s">
        <v>73</v>
      </c>
    </row>
    <row r="9" spans="1:43">
      <c r="A9" s="50" t="s">
        <v>38</v>
      </c>
      <c r="B9">
        <v>0.75</v>
      </c>
      <c r="C9">
        <v>1</v>
      </c>
      <c r="AP9" t="s">
        <v>538</v>
      </c>
      <c r="AQ9" t="s">
        <v>73</v>
      </c>
    </row>
    <row r="10" spans="1:43">
      <c r="A10" s="50" t="s">
        <v>39</v>
      </c>
      <c r="B10">
        <v>0.25</v>
      </c>
      <c r="C10">
        <v>0.25</v>
      </c>
      <c r="D10">
        <v>1</v>
      </c>
      <c r="AP10" t="s">
        <v>524</v>
      </c>
      <c r="AQ10" t="s">
        <v>74</v>
      </c>
    </row>
    <row r="11" spans="1:43">
      <c r="A11" s="50" t="s">
        <v>40</v>
      </c>
      <c r="B11">
        <v>0.25</v>
      </c>
      <c r="C11">
        <v>0.25</v>
      </c>
      <c r="D11">
        <v>0.75</v>
      </c>
      <c r="E11">
        <v>1</v>
      </c>
      <c r="AP11" t="s">
        <v>525</v>
      </c>
      <c r="AQ11" t="s">
        <v>74</v>
      </c>
    </row>
    <row r="12" spans="1:43">
      <c r="A12" s="50" t="s">
        <v>41</v>
      </c>
      <c r="B12">
        <v>0.25</v>
      </c>
      <c r="C12">
        <v>0.25</v>
      </c>
      <c r="D12">
        <v>0.25</v>
      </c>
      <c r="E12">
        <v>0.25</v>
      </c>
      <c r="F12">
        <v>1</v>
      </c>
      <c r="AP12" t="s">
        <v>526</v>
      </c>
      <c r="AQ12" s="57" t="s">
        <v>76</v>
      </c>
    </row>
    <row r="13" spans="1:43">
      <c r="A13" s="50" t="s">
        <v>42</v>
      </c>
      <c r="B13">
        <v>0.25</v>
      </c>
      <c r="C13">
        <v>0.25</v>
      </c>
      <c r="D13">
        <v>0.25</v>
      </c>
      <c r="E13">
        <v>0.25</v>
      </c>
      <c r="F13">
        <v>0.75</v>
      </c>
      <c r="G13">
        <v>1</v>
      </c>
      <c r="AP13" t="s">
        <v>527</v>
      </c>
      <c r="AQ13" s="57" t="s">
        <v>76</v>
      </c>
    </row>
    <row r="14" spans="1:43">
      <c r="A14" s="50" t="s">
        <v>43</v>
      </c>
      <c r="B14">
        <v>0.25</v>
      </c>
      <c r="C14">
        <v>0.25</v>
      </c>
      <c r="D14">
        <v>0.25</v>
      </c>
      <c r="E14">
        <v>0.25</v>
      </c>
      <c r="F14">
        <v>0.75</v>
      </c>
      <c r="G14">
        <v>0.75</v>
      </c>
      <c r="H14">
        <v>1</v>
      </c>
      <c r="AP14" t="s">
        <v>528</v>
      </c>
      <c r="AQ14" t="s">
        <v>77</v>
      </c>
    </row>
    <row r="15" spans="1:43">
      <c r="A15" s="50" t="s">
        <v>44</v>
      </c>
      <c r="B15">
        <v>0.25</v>
      </c>
      <c r="C15">
        <v>0.25</v>
      </c>
      <c r="D15">
        <v>0.5</v>
      </c>
      <c r="E15">
        <v>0.5</v>
      </c>
      <c r="F15">
        <v>0.25</v>
      </c>
      <c r="G15">
        <v>0.25</v>
      </c>
      <c r="H15">
        <v>0.25</v>
      </c>
      <c r="I15">
        <v>1</v>
      </c>
      <c r="AP15" t="s">
        <v>529</v>
      </c>
      <c r="AQ15" t="s">
        <v>77</v>
      </c>
    </row>
    <row r="16" spans="1:43">
      <c r="A16" s="50" t="s">
        <v>45</v>
      </c>
      <c r="B16">
        <v>0.25</v>
      </c>
      <c r="C16">
        <v>0.25</v>
      </c>
      <c r="D16">
        <v>0.5</v>
      </c>
      <c r="E16">
        <v>0.5</v>
      </c>
      <c r="F16">
        <v>0.25</v>
      </c>
      <c r="G16">
        <v>0.25</v>
      </c>
      <c r="H16">
        <v>0.25</v>
      </c>
      <c r="I16">
        <v>0.75</v>
      </c>
      <c r="J16">
        <v>1</v>
      </c>
      <c r="AP16" t="s">
        <v>530</v>
      </c>
      <c r="AQ16" t="s">
        <v>77</v>
      </c>
    </row>
    <row r="17" spans="1:43">
      <c r="A17" s="50" t="s">
        <v>46</v>
      </c>
      <c r="B17">
        <v>0.25</v>
      </c>
      <c r="C17">
        <v>0.25</v>
      </c>
      <c r="D17">
        <v>0.25</v>
      </c>
      <c r="E17">
        <v>0.25</v>
      </c>
      <c r="F17">
        <v>0.25</v>
      </c>
      <c r="G17">
        <v>0.25</v>
      </c>
      <c r="H17">
        <v>0.25</v>
      </c>
      <c r="I17">
        <v>0.25</v>
      </c>
      <c r="J17">
        <v>0.25</v>
      </c>
      <c r="K17">
        <v>1</v>
      </c>
      <c r="AP17" t="s">
        <v>531</v>
      </c>
      <c r="AQ17" t="s">
        <v>78</v>
      </c>
    </row>
    <row r="18" spans="1:43">
      <c r="A18" s="50" t="s">
        <v>47</v>
      </c>
      <c r="B18">
        <v>0.25</v>
      </c>
      <c r="C18">
        <v>0.25</v>
      </c>
      <c r="D18">
        <v>0.25</v>
      </c>
      <c r="E18">
        <v>0.25</v>
      </c>
      <c r="F18">
        <v>0.25</v>
      </c>
      <c r="G18">
        <v>0.25</v>
      </c>
      <c r="H18">
        <v>0.25</v>
      </c>
      <c r="I18">
        <v>0.25</v>
      </c>
      <c r="J18">
        <v>0.25</v>
      </c>
      <c r="K18">
        <v>0.75</v>
      </c>
      <c r="L18">
        <v>1</v>
      </c>
      <c r="AP18" t="s">
        <v>532</v>
      </c>
      <c r="AQ18" t="s">
        <v>78</v>
      </c>
    </row>
    <row r="19" spans="1:43">
      <c r="A19" s="50" t="s">
        <v>48</v>
      </c>
      <c r="B19">
        <v>0.25</v>
      </c>
      <c r="C19">
        <v>0.25</v>
      </c>
      <c r="D19">
        <v>0.25</v>
      </c>
      <c r="E19">
        <v>0.25</v>
      </c>
      <c r="F19">
        <v>0.25</v>
      </c>
      <c r="G19">
        <v>0.25</v>
      </c>
      <c r="H19">
        <v>0.25</v>
      </c>
      <c r="I19">
        <v>0.25</v>
      </c>
      <c r="J19">
        <v>0.25</v>
      </c>
      <c r="K19">
        <v>0.25</v>
      </c>
      <c r="L19">
        <v>0.25</v>
      </c>
      <c r="M19">
        <v>1</v>
      </c>
      <c r="AP19" t="s">
        <v>533</v>
      </c>
      <c r="AQ19" t="s">
        <v>78</v>
      </c>
    </row>
    <row r="20" spans="1:43">
      <c r="A20" s="50" t="s">
        <v>49</v>
      </c>
      <c r="B20">
        <v>0.25</v>
      </c>
      <c r="C20">
        <v>0.25</v>
      </c>
      <c r="D20">
        <v>0.25</v>
      </c>
      <c r="E20">
        <v>0.25</v>
      </c>
      <c r="F20">
        <v>0.25</v>
      </c>
      <c r="G20">
        <v>0.25</v>
      </c>
      <c r="H20">
        <v>0.25</v>
      </c>
      <c r="I20">
        <v>0.25</v>
      </c>
      <c r="J20">
        <v>0.25</v>
      </c>
      <c r="K20">
        <v>0.25</v>
      </c>
      <c r="L20">
        <v>0.25</v>
      </c>
      <c r="M20">
        <v>0.75</v>
      </c>
      <c r="N20">
        <v>1</v>
      </c>
      <c r="AP20" t="s">
        <v>534</v>
      </c>
      <c r="AQ20" t="s">
        <v>61</v>
      </c>
    </row>
    <row r="21" spans="1:43">
      <c r="A21" s="50" t="s">
        <v>50</v>
      </c>
      <c r="B21">
        <v>0.25</v>
      </c>
      <c r="C21">
        <v>0.25</v>
      </c>
      <c r="D21">
        <v>0.25</v>
      </c>
      <c r="E21">
        <v>0.25</v>
      </c>
      <c r="F21">
        <v>0.25</v>
      </c>
      <c r="G21">
        <v>0.25</v>
      </c>
      <c r="H21">
        <v>0.25</v>
      </c>
      <c r="I21">
        <v>0.25</v>
      </c>
      <c r="J21">
        <v>0.25</v>
      </c>
      <c r="K21">
        <v>0.5</v>
      </c>
      <c r="L21">
        <v>0.5</v>
      </c>
      <c r="M21">
        <v>0.5</v>
      </c>
      <c r="N21">
        <v>0.5</v>
      </c>
      <c r="O21">
        <v>1</v>
      </c>
      <c r="AP21" t="s">
        <v>535</v>
      </c>
      <c r="AQ21" t="s">
        <v>62</v>
      </c>
    </row>
    <row r="22" spans="1:43">
      <c r="A22" s="50" t="s">
        <v>51</v>
      </c>
      <c r="B22">
        <v>0.25</v>
      </c>
      <c r="C22">
        <v>0.25</v>
      </c>
      <c r="D22">
        <v>0.25</v>
      </c>
      <c r="E22">
        <v>0.25</v>
      </c>
      <c r="F22">
        <v>0.25</v>
      </c>
      <c r="G22">
        <v>0.25</v>
      </c>
      <c r="H22">
        <v>0.25</v>
      </c>
      <c r="I22">
        <v>0.25</v>
      </c>
      <c r="J22">
        <v>0.25</v>
      </c>
      <c r="K22">
        <v>0.5</v>
      </c>
      <c r="L22">
        <v>0.5</v>
      </c>
      <c r="M22">
        <v>0.5</v>
      </c>
      <c r="N22">
        <v>0.5</v>
      </c>
      <c r="O22">
        <v>0.75</v>
      </c>
      <c r="P22">
        <v>1</v>
      </c>
      <c r="AP22" t="s">
        <v>536</v>
      </c>
      <c r="AQ22" t="s">
        <v>63</v>
      </c>
    </row>
    <row r="23" spans="1:43">
      <c r="A23" s="50" t="s">
        <v>52</v>
      </c>
      <c r="B23">
        <v>0.25</v>
      </c>
      <c r="C23">
        <v>0.25</v>
      </c>
      <c r="D23">
        <v>0.25</v>
      </c>
      <c r="E23">
        <v>0.25</v>
      </c>
      <c r="F23">
        <v>0.25</v>
      </c>
      <c r="G23">
        <v>0.25</v>
      </c>
      <c r="H23">
        <v>0.25</v>
      </c>
      <c r="I23">
        <v>0.25</v>
      </c>
      <c r="J23">
        <v>0.25</v>
      </c>
      <c r="K23">
        <v>0.25</v>
      </c>
      <c r="L23">
        <v>0.25</v>
      </c>
      <c r="M23">
        <v>0.25</v>
      </c>
      <c r="N23">
        <v>0.25</v>
      </c>
      <c r="O23">
        <v>0.5</v>
      </c>
      <c r="P23">
        <v>0.5</v>
      </c>
      <c r="Q23">
        <v>1</v>
      </c>
      <c r="AP23" t="s">
        <v>537</v>
      </c>
      <c r="AQ23" t="s">
        <v>63</v>
      </c>
    </row>
    <row r="24" spans="1:43">
      <c r="A24" s="50" t="s">
        <v>53</v>
      </c>
      <c r="B24">
        <v>0.25</v>
      </c>
      <c r="C24">
        <v>0.25</v>
      </c>
      <c r="D24">
        <v>0.25</v>
      </c>
      <c r="E24">
        <v>0.25</v>
      </c>
      <c r="F24">
        <v>0.25</v>
      </c>
      <c r="G24">
        <v>0.25</v>
      </c>
      <c r="H24">
        <v>0.25</v>
      </c>
      <c r="I24">
        <v>0.25</v>
      </c>
      <c r="J24">
        <v>0.25</v>
      </c>
      <c r="K24">
        <v>0.25</v>
      </c>
      <c r="L24">
        <v>0.25</v>
      </c>
      <c r="M24">
        <v>0.25</v>
      </c>
      <c r="N24">
        <v>0.25</v>
      </c>
      <c r="O24">
        <v>0.5</v>
      </c>
      <c r="P24">
        <v>0.5</v>
      </c>
      <c r="Q24">
        <v>0.75</v>
      </c>
      <c r="R24">
        <v>1</v>
      </c>
      <c r="AP24" t="s">
        <v>539</v>
      </c>
      <c r="AQ24" t="s">
        <v>41</v>
      </c>
    </row>
    <row r="25" spans="1:43">
      <c r="A25" s="51" t="s">
        <v>73</v>
      </c>
      <c r="B25">
        <v>0.5</v>
      </c>
      <c r="C25">
        <v>0.5</v>
      </c>
      <c r="D25">
        <v>0.25</v>
      </c>
      <c r="E25">
        <v>0.25</v>
      </c>
      <c r="F25">
        <v>0.25</v>
      </c>
      <c r="G25">
        <v>0.25</v>
      </c>
      <c r="H25">
        <v>0.25</v>
      </c>
      <c r="I25">
        <v>0.25</v>
      </c>
      <c r="J25">
        <v>0.25</v>
      </c>
      <c r="K25">
        <v>0.25</v>
      </c>
      <c r="L25">
        <v>0.25</v>
      </c>
      <c r="M25">
        <v>0.25</v>
      </c>
      <c r="N25">
        <v>0.25</v>
      </c>
      <c r="O25">
        <v>0.25</v>
      </c>
      <c r="P25">
        <v>0.25</v>
      </c>
      <c r="Q25">
        <v>0.25</v>
      </c>
      <c r="R25">
        <v>0.25</v>
      </c>
      <c r="S25">
        <v>1</v>
      </c>
      <c r="AP25" t="s">
        <v>540</v>
      </c>
      <c r="AQ25" t="s">
        <v>41</v>
      </c>
    </row>
    <row r="26" spans="1:43">
      <c r="A26" s="50" t="s">
        <v>54</v>
      </c>
      <c r="B26">
        <v>0.25</v>
      </c>
      <c r="C26">
        <v>0.25</v>
      </c>
      <c r="D26">
        <v>0.25</v>
      </c>
      <c r="E26">
        <v>0.25</v>
      </c>
      <c r="F26">
        <v>0.25</v>
      </c>
      <c r="G26">
        <v>0.25</v>
      </c>
      <c r="H26">
        <v>0.25</v>
      </c>
      <c r="I26">
        <v>0.25</v>
      </c>
      <c r="J26">
        <v>0.25</v>
      </c>
      <c r="K26">
        <v>0.25</v>
      </c>
      <c r="L26">
        <v>0.25</v>
      </c>
      <c r="M26">
        <v>0.25</v>
      </c>
      <c r="N26">
        <v>0.25</v>
      </c>
      <c r="O26">
        <v>0.25</v>
      </c>
      <c r="P26">
        <v>0.25</v>
      </c>
      <c r="Q26">
        <v>0.25</v>
      </c>
      <c r="R26">
        <v>0.25</v>
      </c>
      <c r="S26">
        <v>0.25</v>
      </c>
      <c r="T26">
        <v>1</v>
      </c>
      <c r="AP26" t="s">
        <v>541</v>
      </c>
      <c r="AQ26" t="s">
        <v>42</v>
      </c>
    </row>
    <row r="27" spans="1:43">
      <c r="A27" s="50" t="s">
        <v>55</v>
      </c>
      <c r="B27">
        <v>0.25</v>
      </c>
      <c r="C27">
        <v>0.25</v>
      </c>
      <c r="D27">
        <v>0.25</v>
      </c>
      <c r="E27">
        <v>0.25</v>
      </c>
      <c r="F27">
        <v>0.25</v>
      </c>
      <c r="G27">
        <v>0.25</v>
      </c>
      <c r="H27">
        <v>0.25</v>
      </c>
      <c r="I27">
        <v>0.25</v>
      </c>
      <c r="J27">
        <v>0.25</v>
      </c>
      <c r="K27">
        <v>0.25</v>
      </c>
      <c r="L27">
        <v>0.25</v>
      </c>
      <c r="M27">
        <v>0.25</v>
      </c>
      <c r="N27">
        <v>0.25</v>
      </c>
      <c r="O27">
        <v>0.25</v>
      </c>
      <c r="P27">
        <v>0.25</v>
      </c>
      <c r="Q27">
        <v>0.25</v>
      </c>
      <c r="R27">
        <v>0.25</v>
      </c>
      <c r="S27">
        <v>0.25</v>
      </c>
      <c r="T27">
        <v>0.25</v>
      </c>
      <c r="U27">
        <v>1</v>
      </c>
      <c r="AP27" t="s">
        <v>542</v>
      </c>
      <c r="AQ27" t="s">
        <v>42</v>
      </c>
    </row>
    <row r="28" spans="1:43">
      <c r="A28" s="50" t="s">
        <v>56</v>
      </c>
      <c r="B28">
        <v>0.25</v>
      </c>
      <c r="C28">
        <v>0.25</v>
      </c>
      <c r="D28">
        <v>0.25</v>
      </c>
      <c r="E28">
        <v>0.25</v>
      </c>
      <c r="F28">
        <v>0.25</v>
      </c>
      <c r="G28">
        <v>0.25</v>
      </c>
      <c r="H28">
        <v>0.25</v>
      </c>
      <c r="I28">
        <v>0.25</v>
      </c>
      <c r="J28">
        <v>0.25</v>
      </c>
      <c r="K28">
        <v>0.25</v>
      </c>
      <c r="L28">
        <v>0.25</v>
      </c>
      <c r="M28">
        <v>0.25</v>
      </c>
      <c r="N28">
        <v>0.25</v>
      </c>
      <c r="O28">
        <v>0.25</v>
      </c>
      <c r="P28">
        <v>0.25</v>
      </c>
      <c r="Q28">
        <v>0.25</v>
      </c>
      <c r="R28">
        <v>0.25</v>
      </c>
      <c r="S28">
        <v>0.25</v>
      </c>
      <c r="T28">
        <v>0.5</v>
      </c>
      <c r="U28">
        <v>0.25</v>
      </c>
      <c r="V28">
        <v>1</v>
      </c>
      <c r="AP28" t="s">
        <v>543</v>
      </c>
      <c r="AQ28" t="s">
        <v>43</v>
      </c>
    </row>
    <row r="29" spans="1:43">
      <c r="A29" s="50" t="s">
        <v>57</v>
      </c>
      <c r="B29">
        <v>0.25</v>
      </c>
      <c r="C29">
        <v>0.25</v>
      </c>
      <c r="D29">
        <v>0.25</v>
      </c>
      <c r="E29">
        <v>0.25</v>
      </c>
      <c r="F29">
        <v>0.25</v>
      </c>
      <c r="G29">
        <v>0.25</v>
      </c>
      <c r="H29">
        <v>0.25</v>
      </c>
      <c r="I29">
        <v>0.25</v>
      </c>
      <c r="J29">
        <v>0.25</v>
      </c>
      <c r="K29">
        <v>0.25</v>
      </c>
      <c r="L29">
        <v>0.25</v>
      </c>
      <c r="M29">
        <v>0.25</v>
      </c>
      <c r="N29">
        <v>0.25</v>
      </c>
      <c r="O29">
        <v>0.25</v>
      </c>
      <c r="P29">
        <v>0.25</v>
      </c>
      <c r="Q29">
        <v>0.25</v>
      </c>
      <c r="R29">
        <v>0.25</v>
      </c>
      <c r="S29">
        <v>0.25</v>
      </c>
      <c r="T29">
        <v>0.5</v>
      </c>
      <c r="U29">
        <v>0.25</v>
      </c>
      <c r="V29">
        <v>0.25</v>
      </c>
      <c r="W29">
        <v>1</v>
      </c>
      <c r="AP29" t="s">
        <v>544</v>
      </c>
      <c r="AQ29" t="s">
        <v>43</v>
      </c>
    </row>
    <row r="30" spans="1:43">
      <c r="A30" s="50" t="s">
        <v>58</v>
      </c>
      <c r="B30">
        <v>0.25</v>
      </c>
      <c r="C30">
        <v>0.25</v>
      </c>
      <c r="D30">
        <v>0.25</v>
      </c>
      <c r="E30">
        <v>0.25</v>
      </c>
      <c r="F30">
        <v>0.25</v>
      </c>
      <c r="G30">
        <v>0.25</v>
      </c>
      <c r="H30">
        <v>0.25</v>
      </c>
      <c r="I30">
        <v>0.25</v>
      </c>
      <c r="J30">
        <v>0.25</v>
      </c>
      <c r="K30">
        <v>0.25</v>
      </c>
      <c r="L30">
        <v>0.25</v>
      </c>
      <c r="M30">
        <v>0.25</v>
      </c>
      <c r="N30">
        <v>0.25</v>
      </c>
      <c r="O30">
        <v>0.25</v>
      </c>
      <c r="P30">
        <v>0.25</v>
      </c>
      <c r="Q30">
        <v>0.25</v>
      </c>
      <c r="R30">
        <v>0.25</v>
      </c>
      <c r="S30">
        <v>0.5</v>
      </c>
      <c r="T30">
        <v>0.5</v>
      </c>
      <c r="U30">
        <v>0.25</v>
      </c>
      <c r="V30">
        <v>0.5</v>
      </c>
      <c r="W30">
        <v>0.25</v>
      </c>
      <c r="X30">
        <v>1</v>
      </c>
      <c r="AP30" t="s">
        <v>545</v>
      </c>
      <c r="AQ30" t="s">
        <v>46</v>
      </c>
    </row>
    <row r="31" spans="1:43">
      <c r="A31" s="50" t="s">
        <v>59</v>
      </c>
      <c r="B31">
        <v>0.25</v>
      </c>
      <c r="C31">
        <v>0.25</v>
      </c>
      <c r="D31">
        <v>0.25</v>
      </c>
      <c r="E31">
        <v>0.25</v>
      </c>
      <c r="F31">
        <v>0.25</v>
      </c>
      <c r="G31">
        <v>0.25</v>
      </c>
      <c r="H31">
        <v>0.25</v>
      </c>
      <c r="I31">
        <v>0.25</v>
      </c>
      <c r="J31">
        <v>0.25</v>
      </c>
      <c r="K31">
        <v>0.25</v>
      </c>
      <c r="L31">
        <v>0.25</v>
      </c>
      <c r="M31">
        <v>0.25</v>
      </c>
      <c r="N31">
        <v>0.25</v>
      </c>
      <c r="O31">
        <v>0.25</v>
      </c>
      <c r="P31">
        <v>0.25</v>
      </c>
      <c r="Q31">
        <v>0.25</v>
      </c>
      <c r="R31">
        <v>0.25</v>
      </c>
      <c r="S31">
        <v>0.25</v>
      </c>
      <c r="T31">
        <v>0.25</v>
      </c>
      <c r="U31">
        <v>0.25</v>
      </c>
      <c r="V31">
        <v>0.25</v>
      </c>
      <c r="W31">
        <v>0.25</v>
      </c>
      <c r="X31">
        <v>0.25</v>
      </c>
      <c r="Y31">
        <v>1</v>
      </c>
      <c r="AP31" t="s">
        <v>546</v>
      </c>
      <c r="AQ31" t="s">
        <v>46</v>
      </c>
    </row>
    <row r="32" spans="1:43">
      <c r="A32" s="50" t="s">
        <v>60</v>
      </c>
      <c r="B32">
        <v>0.25</v>
      </c>
      <c r="C32">
        <v>0.25</v>
      </c>
      <c r="D32">
        <v>0.25</v>
      </c>
      <c r="E32">
        <v>0.25</v>
      </c>
      <c r="F32">
        <v>0.25</v>
      </c>
      <c r="G32">
        <v>0.25</v>
      </c>
      <c r="H32">
        <v>0.25</v>
      </c>
      <c r="I32">
        <v>0.25</v>
      </c>
      <c r="J32">
        <v>0.25</v>
      </c>
      <c r="K32">
        <v>0.25</v>
      </c>
      <c r="L32">
        <v>0.25</v>
      </c>
      <c r="M32">
        <v>0.25</v>
      </c>
      <c r="N32">
        <v>0.25</v>
      </c>
      <c r="O32">
        <v>0.25</v>
      </c>
      <c r="P32">
        <v>0.25</v>
      </c>
      <c r="Q32">
        <v>0.25</v>
      </c>
      <c r="R32">
        <v>0.25</v>
      </c>
      <c r="S32">
        <v>0.25</v>
      </c>
      <c r="T32">
        <v>0.5</v>
      </c>
      <c r="U32">
        <v>0.5</v>
      </c>
      <c r="V32">
        <v>0.5</v>
      </c>
      <c r="W32">
        <v>0.5</v>
      </c>
      <c r="X32">
        <v>0.5</v>
      </c>
      <c r="Y32">
        <v>0.5</v>
      </c>
      <c r="Z32">
        <v>1</v>
      </c>
      <c r="AP32" t="s">
        <v>547</v>
      </c>
      <c r="AQ32" t="s">
        <v>47</v>
      </c>
    </row>
    <row r="33" spans="1:43">
      <c r="A33" s="51" t="s">
        <v>74</v>
      </c>
      <c r="B33">
        <v>0.25</v>
      </c>
      <c r="C33">
        <v>0.25</v>
      </c>
      <c r="D33">
        <v>0.25</v>
      </c>
      <c r="E33">
        <v>0.25</v>
      </c>
      <c r="F33">
        <v>0.25</v>
      </c>
      <c r="G33">
        <v>0.25</v>
      </c>
      <c r="H33">
        <v>0.25</v>
      </c>
      <c r="I33">
        <v>0.25</v>
      </c>
      <c r="J33">
        <v>0.25</v>
      </c>
      <c r="K33">
        <v>0.25</v>
      </c>
      <c r="L33">
        <v>0.25</v>
      </c>
      <c r="M33">
        <v>0.25</v>
      </c>
      <c r="N33">
        <v>0.25</v>
      </c>
      <c r="O33">
        <v>0.25</v>
      </c>
      <c r="P33">
        <v>0.25</v>
      </c>
      <c r="Q33">
        <v>0.25</v>
      </c>
      <c r="R33">
        <v>0.25</v>
      </c>
      <c r="S33">
        <v>0.5</v>
      </c>
      <c r="T33">
        <v>0.25</v>
      </c>
      <c r="U33">
        <v>0.25</v>
      </c>
      <c r="V33">
        <v>0.25</v>
      </c>
      <c r="W33">
        <v>0.25</v>
      </c>
      <c r="X33">
        <v>0.5</v>
      </c>
      <c r="Y33">
        <v>0.25</v>
      </c>
      <c r="Z33">
        <v>0.25</v>
      </c>
      <c r="AA33">
        <v>1</v>
      </c>
      <c r="AP33" t="s">
        <v>548</v>
      </c>
      <c r="AQ33" t="s">
        <v>47</v>
      </c>
    </row>
    <row r="34" spans="1:43">
      <c r="A34" s="51" t="s">
        <v>75</v>
      </c>
      <c r="B34">
        <v>0.25</v>
      </c>
      <c r="C34">
        <v>0.25</v>
      </c>
      <c r="D34">
        <v>0.25</v>
      </c>
      <c r="E34">
        <v>0.25</v>
      </c>
      <c r="F34">
        <v>0.25</v>
      </c>
      <c r="G34">
        <v>0.25</v>
      </c>
      <c r="H34">
        <v>0.25</v>
      </c>
      <c r="I34">
        <v>0.25</v>
      </c>
      <c r="J34">
        <v>0.25</v>
      </c>
      <c r="K34">
        <v>0.25</v>
      </c>
      <c r="L34">
        <v>0.25</v>
      </c>
      <c r="M34">
        <v>0.25</v>
      </c>
      <c r="N34">
        <v>0.25</v>
      </c>
      <c r="O34">
        <v>0.25</v>
      </c>
      <c r="P34">
        <v>0.25</v>
      </c>
      <c r="Q34">
        <v>0.25</v>
      </c>
      <c r="R34">
        <v>0.25</v>
      </c>
      <c r="S34">
        <v>0.5</v>
      </c>
      <c r="T34">
        <v>0.25</v>
      </c>
      <c r="U34">
        <v>0.25</v>
      </c>
      <c r="V34">
        <v>0.25</v>
      </c>
      <c r="W34">
        <v>0.25</v>
      </c>
      <c r="X34">
        <v>0.5</v>
      </c>
      <c r="Y34">
        <v>0.25</v>
      </c>
      <c r="Z34">
        <v>0.25</v>
      </c>
      <c r="AA34">
        <v>0.75</v>
      </c>
      <c r="AB34">
        <v>1</v>
      </c>
      <c r="AP34" t="s">
        <v>549</v>
      </c>
      <c r="AQ34" t="s">
        <v>48</v>
      </c>
    </row>
    <row r="35" spans="1:43">
      <c r="A35" s="51" t="s">
        <v>76</v>
      </c>
      <c r="B35">
        <v>0.25</v>
      </c>
      <c r="C35">
        <v>0.25</v>
      </c>
      <c r="D35">
        <v>0.25</v>
      </c>
      <c r="E35">
        <v>0.25</v>
      </c>
      <c r="F35">
        <v>0.25</v>
      </c>
      <c r="G35">
        <v>0.25</v>
      </c>
      <c r="H35">
        <v>0.25</v>
      </c>
      <c r="I35">
        <v>0.25</v>
      </c>
      <c r="J35">
        <v>0.25</v>
      </c>
      <c r="K35">
        <v>0.25</v>
      </c>
      <c r="L35">
        <v>0.25</v>
      </c>
      <c r="M35">
        <v>0.25</v>
      </c>
      <c r="N35">
        <v>0.25</v>
      </c>
      <c r="O35">
        <v>0.25</v>
      </c>
      <c r="P35">
        <v>0.25</v>
      </c>
      <c r="Q35">
        <v>0.25</v>
      </c>
      <c r="R35">
        <v>0.25</v>
      </c>
      <c r="S35">
        <v>0.5</v>
      </c>
      <c r="T35">
        <v>0.25</v>
      </c>
      <c r="U35">
        <v>0.25</v>
      </c>
      <c r="V35">
        <v>0.25</v>
      </c>
      <c r="W35">
        <v>0.25</v>
      </c>
      <c r="X35">
        <v>0.5</v>
      </c>
      <c r="Y35">
        <v>0.25</v>
      </c>
      <c r="Z35">
        <v>0.25</v>
      </c>
      <c r="AA35">
        <v>0.75</v>
      </c>
      <c r="AB35">
        <v>0.75</v>
      </c>
      <c r="AC35">
        <v>1</v>
      </c>
      <c r="AP35" t="s">
        <v>550</v>
      </c>
      <c r="AQ35" t="s">
        <v>48</v>
      </c>
    </row>
    <row r="36" spans="1:43">
      <c r="A36" s="51" t="s">
        <v>77</v>
      </c>
      <c r="B36">
        <v>0.25</v>
      </c>
      <c r="C36">
        <v>0.25</v>
      </c>
      <c r="D36">
        <v>0.25</v>
      </c>
      <c r="E36">
        <v>0.25</v>
      </c>
      <c r="F36">
        <v>0.25</v>
      </c>
      <c r="G36">
        <v>0.25</v>
      </c>
      <c r="H36">
        <v>0.25</v>
      </c>
      <c r="I36">
        <v>0.25</v>
      </c>
      <c r="J36">
        <v>0.25</v>
      </c>
      <c r="K36">
        <v>0.25</v>
      </c>
      <c r="L36">
        <v>0.25</v>
      </c>
      <c r="M36">
        <v>0.25</v>
      </c>
      <c r="N36">
        <v>0.25</v>
      </c>
      <c r="O36">
        <v>0.25</v>
      </c>
      <c r="P36">
        <v>0.25</v>
      </c>
      <c r="Q36">
        <v>0.25</v>
      </c>
      <c r="R36">
        <v>0.25</v>
      </c>
      <c r="S36">
        <v>0.25</v>
      </c>
      <c r="T36">
        <v>0.25</v>
      </c>
      <c r="U36">
        <v>0.25</v>
      </c>
      <c r="V36">
        <v>0.25</v>
      </c>
      <c r="W36">
        <v>0.25</v>
      </c>
      <c r="X36">
        <v>0.25</v>
      </c>
      <c r="Y36">
        <v>0.25</v>
      </c>
      <c r="Z36">
        <v>0.25</v>
      </c>
      <c r="AA36">
        <v>0.25</v>
      </c>
      <c r="AB36">
        <v>0.75</v>
      </c>
      <c r="AC36">
        <v>0.75</v>
      </c>
      <c r="AD36">
        <v>1</v>
      </c>
      <c r="AP36" t="s">
        <v>551</v>
      </c>
      <c r="AQ36" t="s">
        <v>49</v>
      </c>
    </row>
    <row r="37" spans="1:43">
      <c r="A37" s="51" t="s">
        <v>78</v>
      </c>
      <c r="B37">
        <v>0.25</v>
      </c>
      <c r="C37">
        <v>0.25</v>
      </c>
      <c r="D37">
        <v>0.25</v>
      </c>
      <c r="E37">
        <v>0.25</v>
      </c>
      <c r="F37">
        <v>0.25</v>
      </c>
      <c r="G37">
        <v>0.25</v>
      </c>
      <c r="H37">
        <v>0.25</v>
      </c>
      <c r="I37">
        <v>0.25</v>
      </c>
      <c r="J37">
        <v>0.25</v>
      </c>
      <c r="K37">
        <v>0.25</v>
      </c>
      <c r="L37">
        <v>0.25</v>
      </c>
      <c r="M37">
        <v>0.25</v>
      </c>
      <c r="N37">
        <v>0.25</v>
      </c>
      <c r="O37">
        <v>0.25</v>
      </c>
      <c r="P37">
        <v>0.25</v>
      </c>
      <c r="Q37">
        <v>0.25</v>
      </c>
      <c r="R37">
        <v>0.25</v>
      </c>
      <c r="S37">
        <v>0.25</v>
      </c>
      <c r="T37">
        <v>0.25</v>
      </c>
      <c r="U37">
        <v>0.25</v>
      </c>
      <c r="V37">
        <v>0.25</v>
      </c>
      <c r="W37">
        <v>0.25</v>
      </c>
      <c r="X37">
        <v>0.25</v>
      </c>
      <c r="Y37">
        <v>0.5</v>
      </c>
      <c r="Z37">
        <v>0.25</v>
      </c>
      <c r="AA37">
        <v>0.25</v>
      </c>
      <c r="AB37">
        <v>0.25</v>
      </c>
      <c r="AC37">
        <v>0.25</v>
      </c>
      <c r="AD37">
        <v>0.25</v>
      </c>
      <c r="AE37">
        <v>1</v>
      </c>
      <c r="AP37" t="s">
        <v>552</v>
      </c>
      <c r="AQ37" t="s">
        <v>49</v>
      </c>
    </row>
    <row r="38" spans="1:43">
      <c r="A38" s="50" t="s">
        <v>61</v>
      </c>
      <c r="B38">
        <v>0.25</v>
      </c>
      <c r="C38">
        <v>0.25</v>
      </c>
      <c r="D38">
        <v>0.25</v>
      </c>
      <c r="E38">
        <v>0.25</v>
      </c>
      <c r="F38">
        <v>0.25</v>
      </c>
      <c r="G38">
        <v>0.25</v>
      </c>
      <c r="H38">
        <v>0.25</v>
      </c>
      <c r="I38">
        <v>0.25</v>
      </c>
      <c r="J38">
        <v>0.25</v>
      </c>
      <c r="K38">
        <v>0.25</v>
      </c>
      <c r="L38">
        <v>0.25</v>
      </c>
      <c r="M38">
        <v>0.25</v>
      </c>
      <c r="N38">
        <v>0.25</v>
      </c>
      <c r="O38">
        <v>0.25</v>
      </c>
      <c r="P38">
        <v>0.25</v>
      </c>
      <c r="Q38">
        <v>0.25</v>
      </c>
      <c r="R38">
        <v>0.25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0.25</v>
      </c>
      <c r="Y38">
        <v>0.25</v>
      </c>
      <c r="Z38">
        <v>0.25</v>
      </c>
      <c r="AA38">
        <v>0.25</v>
      </c>
      <c r="AB38">
        <v>0.25</v>
      </c>
      <c r="AC38">
        <v>0.25</v>
      </c>
      <c r="AD38">
        <v>0.25</v>
      </c>
      <c r="AE38">
        <v>0.25</v>
      </c>
      <c r="AF38">
        <v>1</v>
      </c>
      <c r="AP38" t="s">
        <v>553</v>
      </c>
      <c r="AQ38" t="s">
        <v>50</v>
      </c>
    </row>
    <row r="39" spans="1:43">
      <c r="A39" s="50" t="s">
        <v>62</v>
      </c>
      <c r="B39">
        <v>0.25</v>
      </c>
      <c r="C39">
        <v>0.25</v>
      </c>
      <c r="D39">
        <v>0.25</v>
      </c>
      <c r="E39">
        <v>0.25</v>
      </c>
      <c r="F39">
        <v>0.25</v>
      </c>
      <c r="G39">
        <v>0.25</v>
      </c>
      <c r="H39">
        <v>0.25</v>
      </c>
      <c r="I39">
        <v>0.25</v>
      </c>
      <c r="J39">
        <v>0.25</v>
      </c>
      <c r="K39">
        <v>0.25</v>
      </c>
      <c r="L39">
        <v>0.25</v>
      </c>
      <c r="M39">
        <v>0.25</v>
      </c>
      <c r="N39">
        <v>0.25</v>
      </c>
      <c r="O39">
        <v>0.25</v>
      </c>
      <c r="P39">
        <v>0.25</v>
      </c>
      <c r="Q39">
        <v>0.25</v>
      </c>
      <c r="R39">
        <v>0.25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0.25</v>
      </c>
      <c r="Y39">
        <v>0.25</v>
      </c>
      <c r="Z39">
        <v>0.25</v>
      </c>
      <c r="AA39">
        <v>0.25</v>
      </c>
      <c r="AB39">
        <v>0.25</v>
      </c>
      <c r="AC39">
        <v>0.25</v>
      </c>
      <c r="AD39">
        <v>0.25</v>
      </c>
      <c r="AE39">
        <v>0.25</v>
      </c>
      <c r="AF39">
        <v>0.25</v>
      </c>
      <c r="AG39">
        <v>1</v>
      </c>
      <c r="AP39" t="s">
        <v>554</v>
      </c>
      <c r="AQ39" t="s">
        <v>50</v>
      </c>
    </row>
    <row r="40" spans="1:43">
      <c r="A40" s="50" t="s">
        <v>63</v>
      </c>
      <c r="B40">
        <v>0.5</v>
      </c>
      <c r="C40">
        <v>0.5</v>
      </c>
      <c r="D40">
        <v>0.5</v>
      </c>
      <c r="E40">
        <v>0.5</v>
      </c>
      <c r="F40">
        <v>0.5</v>
      </c>
      <c r="G40">
        <v>0.5</v>
      </c>
      <c r="H40">
        <v>0.5</v>
      </c>
      <c r="I40">
        <v>0.5</v>
      </c>
      <c r="J40">
        <v>0.5</v>
      </c>
      <c r="K40">
        <v>0.5</v>
      </c>
      <c r="L40">
        <v>0.5</v>
      </c>
      <c r="M40">
        <v>0.5</v>
      </c>
      <c r="N40">
        <v>0.5</v>
      </c>
      <c r="O40">
        <v>0.5</v>
      </c>
      <c r="P40">
        <v>0.5</v>
      </c>
      <c r="Q40">
        <v>0.5</v>
      </c>
      <c r="R40">
        <v>0.5</v>
      </c>
      <c r="S40">
        <v>0.5</v>
      </c>
      <c r="T40">
        <v>0.5</v>
      </c>
      <c r="U40">
        <v>0.5</v>
      </c>
      <c r="V40">
        <v>0.5</v>
      </c>
      <c r="W40">
        <v>0.5</v>
      </c>
      <c r="X40">
        <v>0.5</v>
      </c>
      <c r="Y40">
        <v>0.5</v>
      </c>
      <c r="Z40">
        <v>0.5</v>
      </c>
      <c r="AA40">
        <v>0.5</v>
      </c>
      <c r="AB40">
        <v>0.5</v>
      </c>
      <c r="AC40">
        <v>0.5</v>
      </c>
      <c r="AD40">
        <v>0.5</v>
      </c>
      <c r="AE40">
        <v>0.5</v>
      </c>
      <c r="AF40">
        <v>0.5</v>
      </c>
      <c r="AG40">
        <v>0.5</v>
      </c>
      <c r="AH40">
        <v>1</v>
      </c>
      <c r="AP40" t="s">
        <v>555</v>
      </c>
      <c r="AQ40" t="s">
        <v>51</v>
      </c>
    </row>
    <row r="41" spans="1:43">
      <c r="A41" s="50" t="s">
        <v>64</v>
      </c>
      <c r="B41">
        <v>0.25</v>
      </c>
      <c r="C41">
        <v>0.25</v>
      </c>
      <c r="D41">
        <v>0.25</v>
      </c>
      <c r="E41">
        <v>0.25</v>
      </c>
      <c r="F41">
        <v>0.25</v>
      </c>
      <c r="G41">
        <v>0.25</v>
      </c>
      <c r="H41">
        <v>0.25</v>
      </c>
      <c r="I41">
        <v>0.25</v>
      </c>
      <c r="J41">
        <v>0.25</v>
      </c>
      <c r="K41">
        <v>0.25</v>
      </c>
      <c r="L41">
        <v>0.25</v>
      </c>
      <c r="M41">
        <v>0.25</v>
      </c>
      <c r="N41">
        <v>0.25</v>
      </c>
      <c r="O41">
        <v>0.25</v>
      </c>
      <c r="P41">
        <v>0.25</v>
      </c>
      <c r="Q41">
        <v>0.25</v>
      </c>
      <c r="R41">
        <v>0.25</v>
      </c>
      <c r="S41">
        <v>0.25</v>
      </c>
      <c r="T41">
        <v>0.25</v>
      </c>
      <c r="U41">
        <v>0.25</v>
      </c>
      <c r="V41">
        <v>0.25</v>
      </c>
      <c r="W41">
        <v>0.25</v>
      </c>
      <c r="X41">
        <v>0.25</v>
      </c>
      <c r="Y41">
        <v>0.25</v>
      </c>
      <c r="Z41">
        <v>0.25</v>
      </c>
      <c r="AA41">
        <v>0.25</v>
      </c>
      <c r="AB41">
        <v>0.25</v>
      </c>
      <c r="AC41">
        <v>0.25</v>
      </c>
      <c r="AD41">
        <v>0.25</v>
      </c>
      <c r="AE41">
        <v>0.25</v>
      </c>
      <c r="AF41">
        <v>0.25</v>
      </c>
      <c r="AG41">
        <v>0.25</v>
      </c>
      <c r="AH41">
        <v>0.25</v>
      </c>
      <c r="AI41">
        <v>1</v>
      </c>
      <c r="AP41" t="s">
        <v>556</v>
      </c>
      <c r="AQ41" t="s">
        <v>51</v>
      </c>
    </row>
    <row r="42" spans="1:43">
      <c r="A42" s="50" t="s">
        <v>65</v>
      </c>
      <c r="B42">
        <v>0.25</v>
      </c>
      <c r="C42">
        <v>0.25</v>
      </c>
      <c r="D42">
        <v>0.25</v>
      </c>
      <c r="E42">
        <v>0.25</v>
      </c>
      <c r="F42">
        <v>0.25</v>
      </c>
      <c r="G42">
        <v>0.25</v>
      </c>
      <c r="H42">
        <v>0.25</v>
      </c>
      <c r="I42">
        <v>0.25</v>
      </c>
      <c r="J42">
        <v>0.25</v>
      </c>
      <c r="K42">
        <v>0.25</v>
      </c>
      <c r="L42">
        <v>0.25</v>
      </c>
      <c r="M42">
        <v>0.25</v>
      </c>
      <c r="N42">
        <v>0.25</v>
      </c>
      <c r="O42">
        <v>0.25</v>
      </c>
      <c r="P42">
        <v>0.25</v>
      </c>
      <c r="Q42">
        <v>0.25</v>
      </c>
      <c r="R42">
        <v>0.25</v>
      </c>
      <c r="S42">
        <v>0.25</v>
      </c>
      <c r="T42">
        <v>0.25</v>
      </c>
      <c r="U42">
        <v>0.25</v>
      </c>
      <c r="V42">
        <v>0.25</v>
      </c>
      <c r="W42">
        <v>0.25</v>
      </c>
      <c r="X42">
        <v>0.25</v>
      </c>
      <c r="Y42">
        <v>0.25</v>
      </c>
      <c r="Z42">
        <v>0.25</v>
      </c>
      <c r="AA42">
        <v>0.25</v>
      </c>
      <c r="AB42">
        <v>0.25</v>
      </c>
      <c r="AC42">
        <v>0.25</v>
      </c>
      <c r="AD42">
        <v>0.25</v>
      </c>
      <c r="AE42">
        <v>0.25</v>
      </c>
      <c r="AF42">
        <v>0.25</v>
      </c>
      <c r="AG42">
        <v>0.25</v>
      </c>
      <c r="AH42">
        <v>0.25</v>
      </c>
      <c r="AI42">
        <v>0.75</v>
      </c>
      <c r="AJ42">
        <v>1</v>
      </c>
    </row>
    <row r="43" spans="1:43">
      <c r="A43" s="50" t="s">
        <v>66</v>
      </c>
      <c r="B43">
        <v>0.25</v>
      </c>
      <c r="C43">
        <v>0.25</v>
      </c>
      <c r="D43">
        <v>0.25</v>
      </c>
      <c r="E43">
        <v>0.25</v>
      </c>
      <c r="F43">
        <v>0.25</v>
      </c>
      <c r="G43">
        <v>0.25</v>
      </c>
      <c r="H43">
        <v>0.25</v>
      </c>
      <c r="I43">
        <v>0.25</v>
      </c>
      <c r="J43">
        <v>0.25</v>
      </c>
      <c r="K43">
        <v>0.25</v>
      </c>
      <c r="L43">
        <v>0.25</v>
      </c>
      <c r="M43">
        <v>0.25</v>
      </c>
      <c r="N43">
        <v>0.25</v>
      </c>
      <c r="O43">
        <v>0.25</v>
      </c>
      <c r="P43">
        <v>0.25</v>
      </c>
      <c r="Q43">
        <v>0.25</v>
      </c>
      <c r="R43">
        <v>0.25</v>
      </c>
      <c r="S43">
        <v>0.25</v>
      </c>
      <c r="T43">
        <v>0.25</v>
      </c>
      <c r="U43">
        <v>0.25</v>
      </c>
      <c r="V43">
        <v>0.25</v>
      </c>
      <c r="W43">
        <v>0.25</v>
      </c>
      <c r="X43">
        <v>0.25</v>
      </c>
      <c r="Y43">
        <v>0.25</v>
      </c>
      <c r="Z43">
        <v>0.25</v>
      </c>
      <c r="AA43">
        <v>0.25</v>
      </c>
      <c r="AB43">
        <v>0.25</v>
      </c>
      <c r="AC43">
        <v>0.25</v>
      </c>
      <c r="AD43">
        <v>0.25</v>
      </c>
      <c r="AE43">
        <v>0.25</v>
      </c>
      <c r="AF43">
        <v>0.25</v>
      </c>
      <c r="AG43">
        <v>0.25</v>
      </c>
      <c r="AH43">
        <v>0.25</v>
      </c>
      <c r="AI43">
        <v>0.5</v>
      </c>
      <c r="AJ43">
        <v>0.5</v>
      </c>
      <c r="AK43">
        <v>1</v>
      </c>
    </row>
    <row r="44" spans="1:43">
      <c r="A44" s="50" t="s">
        <v>67</v>
      </c>
      <c r="B44">
        <v>0.25</v>
      </c>
      <c r="C44">
        <v>0.25</v>
      </c>
      <c r="D44">
        <v>0.25</v>
      </c>
      <c r="E44">
        <v>0.25</v>
      </c>
      <c r="F44">
        <v>0.25</v>
      </c>
      <c r="G44">
        <v>0.25</v>
      </c>
      <c r="H44">
        <v>0.25</v>
      </c>
      <c r="I44">
        <v>0.25</v>
      </c>
      <c r="J44">
        <v>0.25</v>
      </c>
      <c r="K44">
        <v>0.25</v>
      </c>
      <c r="L44">
        <v>0.25</v>
      </c>
      <c r="M44">
        <v>0.25</v>
      </c>
      <c r="N44">
        <v>0.25</v>
      </c>
      <c r="O44">
        <v>0.25</v>
      </c>
      <c r="P44">
        <v>0.25</v>
      </c>
      <c r="Q44">
        <v>0.25</v>
      </c>
      <c r="R44">
        <v>0.25</v>
      </c>
      <c r="S44">
        <v>0.25</v>
      </c>
      <c r="T44">
        <v>0.25</v>
      </c>
      <c r="U44">
        <v>0.25</v>
      </c>
      <c r="V44">
        <v>0.25</v>
      </c>
      <c r="W44">
        <v>0.25</v>
      </c>
      <c r="X44">
        <v>0.25</v>
      </c>
      <c r="Y44">
        <v>0.25</v>
      </c>
      <c r="Z44">
        <v>0.25</v>
      </c>
      <c r="AA44">
        <v>0.25</v>
      </c>
      <c r="AB44">
        <v>0.25</v>
      </c>
      <c r="AC44">
        <v>0.25</v>
      </c>
      <c r="AD44">
        <v>0.25</v>
      </c>
      <c r="AE44">
        <v>0.25</v>
      </c>
      <c r="AF44">
        <v>0.25</v>
      </c>
      <c r="AG44">
        <v>0.25</v>
      </c>
      <c r="AH44">
        <v>0.25</v>
      </c>
      <c r="AI44">
        <v>0.25</v>
      </c>
      <c r="AJ44">
        <v>0.25</v>
      </c>
      <c r="AK44">
        <v>0.25</v>
      </c>
      <c r="AL44">
        <v>1</v>
      </c>
    </row>
    <row r="45" spans="1:43">
      <c r="A45" s="50" t="s">
        <v>68</v>
      </c>
      <c r="B45">
        <v>0.25</v>
      </c>
      <c r="C45">
        <v>0.25</v>
      </c>
      <c r="D45">
        <v>0.25</v>
      </c>
      <c r="E45">
        <v>0.25</v>
      </c>
      <c r="F45">
        <v>0.25</v>
      </c>
      <c r="G45">
        <v>0.25</v>
      </c>
      <c r="H45">
        <v>0.25</v>
      </c>
      <c r="I45">
        <v>0.25</v>
      </c>
      <c r="J45">
        <v>0.25</v>
      </c>
      <c r="K45">
        <v>0.25</v>
      </c>
      <c r="L45">
        <v>0.25</v>
      </c>
      <c r="M45">
        <v>0.25</v>
      </c>
      <c r="N45">
        <v>0.25</v>
      </c>
      <c r="O45">
        <v>0.25</v>
      </c>
      <c r="P45">
        <v>0.25</v>
      </c>
      <c r="Q45">
        <v>0.25</v>
      </c>
      <c r="R45">
        <v>0.25</v>
      </c>
      <c r="S45">
        <v>0.25</v>
      </c>
      <c r="T45">
        <v>0.25</v>
      </c>
      <c r="U45">
        <v>0.25</v>
      </c>
      <c r="V45">
        <v>0.25</v>
      </c>
      <c r="W45">
        <v>0.25</v>
      </c>
      <c r="X45">
        <v>0.25</v>
      </c>
      <c r="Y45">
        <v>0.25</v>
      </c>
      <c r="Z45">
        <v>0.25</v>
      </c>
      <c r="AA45">
        <v>0.25</v>
      </c>
      <c r="AB45">
        <v>0.25</v>
      </c>
      <c r="AC45">
        <v>0.25</v>
      </c>
      <c r="AD45">
        <v>0.25</v>
      </c>
      <c r="AE45">
        <v>0.25</v>
      </c>
      <c r="AF45">
        <v>0.25</v>
      </c>
      <c r="AG45">
        <v>0.25</v>
      </c>
      <c r="AH45">
        <v>0.25</v>
      </c>
      <c r="AI45">
        <v>0.25</v>
      </c>
      <c r="AJ45">
        <v>0.25</v>
      </c>
      <c r="AK45">
        <v>0.25</v>
      </c>
      <c r="AL45">
        <v>0.25</v>
      </c>
      <c r="AM45">
        <v>1</v>
      </c>
    </row>
    <row r="46" spans="1:43">
      <c r="A46" s="50" t="s">
        <v>69</v>
      </c>
      <c r="B46">
        <v>0.25</v>
      </c>
      <c r="C46">
        <v>0.25</v>
      </c>
      <c r="D46">
        <v>0.25</v>
      </c>
      <c r="E46">
        <v>0.25</v>
      </c>
      <c r="F46">
        <v>0.25</v>
      </c>
      <c r="G46">
        <v>0.25</v>
      </c>
      <c r="H46">
        <v>0.25</v>
      </c>
      <c r="I46">
        <v>0.25</v>
      </c>
      <c r="J46">
        <v>0.25</v>
      </c>
      <c r="K46">
        <v>0.25</v>
      </c>
      <c r="L46">
        <v>0.25</v>
      </c>
      <c r="M46">
        <v>0.25</v>
      </c>
      <c r="N46">
        <v>0.25</v>
      </c>
      <c r="O46">
        <v>0.25</v>
      </c>
      <c r="P46">
        <v>0.25</v>
      </c>
      <c r="Q46">
        <v>0.25</v>
      </c>
      <c r="R46">
        <v>0.25</v>
      </c>
      <c r="S46">
        <v>0.25</v>
      </c>
      <c r="T46">
        <v>0.25</v>
      </c>
      <c r="U46">
        <v>0.25</v>
      </c>
      <c r="V46">
        <v>0.25</v>
      </c>
      <c r="W46">
        <v>0.25</v>
      </c>
      <c r="X46">
        <v>0.25</v>
      </c>
      <c r="Y46">
        <v>0.25</v>
      </c>
      <c r="Z46">
        <v>0.25</v>
      </c>
      <c r="AA46">
        <v>0.25</v>
      </c>
      <c r="AB46">
        <v>0.25</v>
      </c>
      <c r="AC46">
        <v>0.25</v>
      </c>
      <c r="AD46">
        <v>0.25</v>
      </c>
      <c r="AE46">
        <v>0.25</v>
      </c>
      <c r="AF46">
        <v>0.25</v>
      </c>
      <c r="AG46">
        <v>0.25</v>
      </c>
      <c r="AH46">
        <v>0.25</v>
      </c>
      <c r="AI46">
        <v>0.25</v>
      </c>
      <c r="AJ46">
        <v>0.25</v>
      </c>
      <c r="AK46">
        <v>0.25</v>
      </c>
      <c r="AL46">
        <v>0.25</v>
      </c>
      <c r="AM46">
        <v>0.25</v>
      </c>
      <c r="AN46">
        <v>1</v>
      </c>
    </row>
  </sheetData>
  <pageMargins left="0.7" right="0.7" top="0.75" bottom="0.75" header="0.3" footer="0.3"/>
  <headerFooter>
    <oddHeader>&amp;R&amp;"Calibri"&amp;10&amp;K000000 Control Disclosure&amp;1#_x000D_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5D41-3847-4C32-AFAE-D6DEEE652FF3}">
  <sheetPr codeName="Sheet27"/>
  <dimension ref="A1:AH39"/>
  <sheetViews>
    <sheetView workbookViewId="0">
      <selection activeCell="A7" sqref="A7"/>
    </sheetView>
  </sheetViews>
  <sheetFormatPr defaultRowHeight="14.5"/>
  <sheetData>
    <row r="1" spans="1:34">
      <c r="A1" t="str" cm="1">
        <f t="array" aca="1" ref="A1" ca="1">CELL("filename",A1)</f>
        <v>C:\Sync\git_hub\vba_samplicity\[01_magnus_premres.xlsm]Calculated Correlation Matrix</v>
      </c>
    </row>
    <row r="2" spans="1:34">
      <c r="A2" s="14" t="s">
        <v>256</v>
      </c>
    </row>
    <row r="3" spans="1:34">
      <c r="A3" s="14" t="s">
        <v>257</v>
      </c>
    </row>
    <row r="6" spans="1:34">
      <c r="B6" s="49" t="str" cm="1">
        <f t="array" ref="B6:AH6">TRANSPOSE(_xlfn.ANCHORARRAY(A7))</f>
        <v>1a</v>
      </c>
      <c r="C6" s="49" t="str">
        <v>1b</v>
      </c>
      <c r="D6" s="49" t="str">
        <v>2a</v>
      </c>
      <c r="E6" s="49" t="str">
        <v>2b</v>
      </c>
      <c r="F6" s="49" t="str">
        <v>1a</v>
      </c>
      <c r="G6" s="49" t="str">
        <v>3ii</v>
      </c>
      <c r="H6" s="49" t="str">
        <v>3iii</v>
      </c>
      <c r="I6" s="49" t="str">
        <v>4i</v>
      </c>
      <c r="J6" s="49" t="str">
        <v>4ii</v>
      </c>
      <c r="K6" s="49" t="str">
        <v>5i</v>
      </c>
      <c r="L6" s="49" t="str">
        <v>5ii</v>
      </c>
      <c r="M6" s="49" t="str">
        <v>6i</v>
      </c>
      <c r="N6" s="49" t="str">
        <v>6ii</v>
      </c>
      <c r="O6" s="49" t="str">
        <v>7i</v>
      </c>
      <c r="P6" s="49" t="str">
        <v>7ii</v>
      </c>
      <c r="Q6" s="49" t="str">
        <v>8i</v>
      </c>
      <c r="R6" s="49" t="str">
        <v>8ii</v>
      </c>
      <c r="S6" s="49" t="str">
        <v>9</v>
      </c>
      <c r="T6" s="49" t="str">
        <v>9</v>
      </c>
      <c r="U6" s="49" t="str">
        <v>10ii</v>
      </c>
      <c r="V6" s="49" t="str">
        <v>10iii</v>
      </c>
      <c r="W6" s="49" t="str">
        <v>10iv</v>
      </c>
      <c r="X6" s="49" t="str">
        <v>10v</v>
      </c>
      <c r="Y6" s="49" t="str">
        <v>10vi</v>
      </c>
      <c r="Z6" s="49" t="str">
        <v>10vii</v>
      </c>
      <c r="AA6" s="49" t="str">
        <v>18b</v>
      </c>
      <c r="AB6" s="49" t="str">
        <v>13</v>
      </c>
      <c r="AC6" s="49" t="str">
        <v>14</v>
      </c>
      <c r="AD6" s="49" t="str">
        <v>15</v>
      </c>
      <c r="AE6" s="49" t="str">
        <v>16i</v>
      </c>
      <c r="AF6" s="49" t="str">
        <v>18b</v>
      </c>
      <c r="AG6" s="49" t="str">
        <v>18c</v>
      </c>
      <c r="AH6" s="49" t="str">
        <v>17ii</v>
      </c>
    </row>
    <row r="7" spans="1:34">
      <c r="A7" s="49" t="str" cm="1">
        <f t="array" ref="A7:A39">_xlfn._xlws.FILTER(_xlfn.ANCHORARRAY('PremRes Replication'!U19),_xlfn.ANCHORARRAY('PremRes Replication'!U19)&lt;&gt;"zzz")</f>
        <v>1a</v>
      </c>
      <c r="B7" cm="1">
        <f t="array" ref="B7:AH39">_xlfn.MAKEARRAY(
    ROWS(_xlfn.ANCHORARRAY($A$7)),
    COLUMNS(_xlfn.ANCHORARRAY($B$6)),
    _xlfn.LAMBDA(_xlpm.r,_xlpm.c,
        MAX(
            INDEX('Correlation Matrix'!$B$8:$AP$46,
                MATCH(INDEX(_xlfn.ANCHORARRAY($A$7), _xlpm.r), 'Correlation Matrix'!$A$8:$A$46, 0),
                MATCH(INDEX(_xlfn.ANCHORARRAY($B$6), _xlpm.c), 'Correlation Matrix'!$A$8:$A$46, 0)
            ),
            INDEX('Correlation Matrix'!$B$8:$AP$46,
                MATCH(INDEX(_xlfn.ANCHORARRAY($B$6), _xlpm.c), 'Correlation Matrix'!$A$8:$A$46, 0),
                MATCH(INDEX(_xlfn.ANCHORARRAY($A$7), _xlpm.r), 'Correlation Matrix'!$A$8:$A$46, 0)
            )
        )
    )
)</f>
        <v>1</v>
      </c>
      <c r="C7">
        <v>0.75</v>
      </c>
      <c r="D7">
        <v>0.25</v>
      </c>
      <c r="E7">
        <v>0.25</v>
      </c>
      <c r="F7">
        <v>1</v>
      </c>
      <c r="G7">
        <v>0.25</v>
      </c>
      <c r="H7">
        <v>0.25</v>
      </c>
      <c r="I7">
        <v>0.25</v>
      </c>
      <c r="J7">
        <v>0.25</v>
      </c>
      <c r="K7">
        <v>0.25</v>
      </c>
      <c r="L7">
        <v>0.25</v>
      </c>
      <c r="M7">
        <v>0.25</v>
      </c>
      <c r="N7">
        <v>0.25</v>
      </c>
      <c r="O7">
        <v>0.25</v>
      </c>
      <c r="P7">
        <v>0.25</v>
      </c>
      <c r="Q7">
        <v>0.25</v>
      </c>
      <c r="R7">
        <v>0.25</v>
      </c>
      <c r="S7">
        <v>0.5</v>
      </c>
      <c r="T7">
        <v>0.5</v>
      </c>
      <c r="U7">
        <v>0.25</v>
      </c>
      <c r="V7">
        <v>0.25</v>
      </c>
      <c r="W7">
        <v>0.25</v>
      </c>
      <c r="X7">
        <v>0.25</v>
      </c>
      <c r="Y7">
        <v>0.25</v>
      </c>
      <c r="Z7">
        <v>0.25</v>
      </c>
      <c r="AA7">
        <v>0.25</v>
      </c>
      <c r="AB7">
        <v>0.25</v>
      </c>
      <c r="AC7">
        <v>0.25</v>
      </c>
      <c r="AD7">
        <v>0.25</v>
      </c>
      <c r="AE7">
        <v>0.25</v>
      </c>
      <c r="AF7">
        <v>0.25</v>
      </c>
      <c r="AG7">
        <v>0.25</v>
      </c>
      <c r="AH7">
        <v>0.25</v>
      </c>
    </row>
    <row r="8" spans="1:34">
      <c r="A8" s="49" t="str">
        <v>1b</v>
      </c>
      <c r="B8">
        <v>0.75</v>
      </c>
      <c r="C8">
        <v>1</v>
      </c>
      <c r="D8">
        <v>0.25</v>
      </c>
      <c r="E8">
        <v>0.25</v>
      </c>
      <c r="F8">
        <v>0.75</v>
      </c>
      <c r="G8">
        <v>0.25</v>
      </c>
      <c r="H8">
        <v>0.25</v>
      </c>
      <c r="I8">
        <v>0.25</v>
      </c>
      <c r="J8">
        <v>0.25</v>
      </c>
      <c r="K8">
        <v>0.25</v>
      </c>
      <c r="L8">
        <v>0.25</v>
      </c>
      <c r="M8">
        <v>0.25</v>
      </c>
      <c r="N8">
        <v>0.25</v>
      </c>
      <c r="O8">
        <v>0.25</v>
      </c>
      <c r="P8">
        <v>0.25</v>
      </c>
      <c r="Q8">
        <v>0.25</v>
      </c>
      <c r="R8">
        <v>0.25</v>
      </c>
      <c r="S8">
        <v>0.5</v>
      </c>
      <c r="T8">
        <v>0.5</v>
      </c>
      <c r="U8">
        <v>0.25</v>
      </c>
      <c r="V8">
        <v>0.25</v>
      </c>
      <c r="W8">
        <v>0.25</v>
      </c>
      <c r="X8">
        <v>0.25</v>
      </c>
      <c r="Y8">
        <v>0.25</v>
      </c>
      <c r="Z8">
        <v>0.25</v>
      </c>
      <c r="AA8">
        <v>0.25</v>
      </c>
      <c r="AB8">
        <v>0.25</v>
      </c>
      <c r="AC8">
        <v>0.25</v>
      </c>
      <c r="AD8">
        <v>0.25</v>
      </c>
      <c r="AE8">
        <v>0.25</v>
      </c>
      <c r="AF8">
        <v>0.25</v>
      </c>
      <c r="AG8">
        <v>0.25</v>
      </c>
      <c r="AH8">
        <v>0.25</v>
      </c>
    </row>
    <row r="9" spans="1:34">
      <c r="A9" s="49" t="str">
        <v>2a</v>
      </c>
      <c r="B9">
        <v>0.25</v>
      </c>
      <c r="C9">
        <v>0.25</v>
      </c>
      <c r="D9">
        <v>1</v>
      </c>
      <c r="E9">
        <v>0.75</v>
      </c>
      <c r="F9">
        <v>0.25</v>
      </c>
      <c r="G9">
        <v>0.25</v>
      </c>
      <c r="H9">
        <v>0.25</v>
      </c>
      <c r="I9">
        <v>0.5</v>
      </c>
      <c r="J9">
        <v>0.5</v>
      </c>
      <c r="K9">
        <v>0.25</v>
      </c>
      <c r="L9">
        <v>0.25</v>
      </c>
      <c r="M9">
        <v>0.25</v>
      </c>
      <c r="N9">
        <v>0.25</v>
      </c>
      <c r="O9">
        <v>0.25</v>
      </c>
      <c r="P9">
        <v>0.25</v>
      </c>
      <c r="Q9">
        <v>0.25</v>
      </c>
      <c r="R9">
        <v>0.25</v>
      </c>
      <c r="S9">
        <v>0.25</v>
      </c>
      <c r="T9">
        <v>0.25</v>
      </c>
      <c r="U9">
        <v>0.25</v>
      </c>
      <c r="V9">
        <v>0.25</v>
      </c>
      <c r="W9">
        <v>0.25</v>
      </c>
      <c r="X9">
        <v>0.25</v>
      </c>
      <c r="Y9">
        <v>0.25</v>
      </c>
      <c r="Z9">
        <v>0.25</v>
      </c>
      <c r="AA9">
        <v>0.25</v>
      </c>
      <c r="AB9">
        <v>0.25</v>
      </c>
      <c r="AC9">
        <v>0.25</v>
      </c>
      <c r="AD9">
        <v>0.25</v>
      </c>
      <c r="AE9">
        <v>0.25</v>
      </c>
      <c r="AF9">
        <v>0.25</v>
      </c>
      <c r="AG9">
        <v>0.25</v>
      </c>
      <c r="AH9">
        <v>0.25</v>
      </c>
    </row>
    <row r="10" spans="1:34">
      <c r="A10" s="49" t="str">
        <v>2b</v>
      </c>
      <c r="B10">
        <v>0.25</v>
      </c>
      <c r="C10">
        <v>0.25</v>
      </c>
      <c r="D10">
        <v>0.75</v>
      </c>
      <c r="E10">
        <v>1</v>
      </c>
      <c r="F10">
        <v>0.25</v>
      </c>
      <c r="G10">
        <v>0.25</v>
      </c>
      <c r="H10">
        <v>0.25</v>
      </c>
      <c r="I10">
        <v>0.5</v>
      </c>
      <c r="J10">
        <v>0.5</v>
      </c>
      <c r="K10">
        <v>0.25</v>
      </c>
      <c r="L10">
        <v>0.25</v>
      </c>
      <c r="M10">
        <v>0.25</v>
      </c>
      <c r="N10">
        <v>0.25</v>
      </c>
      <c r="O10">
        <v>0.25</v>
      </c>
      <c r="P10">
        <v>0.25</v>
      </c>
      <c r="Q10">
        <v>0.25</v>
      </c>
      <c r="R10">
        <v>0.25</v>
      </c>
      <c r="S10">
        <v>0.25</v>
      </c>
      <c r="T10">
        <v>0.25</v>
      </c>
      <c r="U10">
        <v>0.25</v>
      </c>
      <c r="V10">
        <v>0.25</v>
      </c>
      <c r="W10">
        <v>0.25</v>
      </c>
      <c r="X10">
        <v>0.25</v>
      </c>
      <c r="Y10">
        <v>0.25</v>
      </c>
      <c r="Z10">
        <v>0.25</v>
      </c>
      <c r="AA10">
        <v>0.25</v>
      </c>
      <c r="AB10">
        <v>0.25</v>
      </c>
      <c r="AC10">
        <v>0.25</v>
      </c>
      <c r="AD10">
        <v>0.25</v>
      </c>
      <c r="AE10">
        <v>0.25</v>
      </c>
      <c r="AF10">
        <v>0.25</v>
      </c>
      <c r="AG10">
        <v>0.25</v>
      </c>
      <c r="AH10">
        <v>0.25</v>
      </c>
    </row>
    <row r="11" spans="1:34">
      <c r="A11" s="49" t="str">
        <v>1a</v>
      </c>
      <c r="B11">
        <v>1</v>
      </c>
      <c r="C11">
        <v>0.75</v>
      </c>
      <c r="D11">
        <v>0.25</v>
      </c>
      <c r="E11">
        <v>0.25</v>
      </c>
      <c r="F11">
        <v>1</v>
      </c>
      <c r="G11">
        <v>0.25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  <c r="N11">
        <v>0.25</v>
      </c>
      <c r="O11">
        <v>0.25</v>
      </c>
      <c r="P11">
        <v>0.25</v>
      </c>
      <c r="Q11">
        <v>0.25</v>
      </c>
      <c r="R11">
        <v>0.25</v>
      </c>
      <c r="S11">
        <v>0.5</v>
      </c>
      <c r="T11">
        <v>0.5</v>
      </c>
      <c r="U11">
        <v>0.25</v>
      </c>
      <c r="V11">
        <v>0.25</v>
      </c>
      <c r="W11">
        <v>0.25</v>
      </c>
      <c r="X11">
        <v>0.25</v>
      </c>
      <c r="Y11">
        <v>0.25</v>
      </c>
      <c r="Z11">
        <v>0.25</v>
      </c>
      <c r="AA11">
        <v>0.25</v>
      </c>
      <c r="AB11">
        <v>0.25</v>
      </c>
      <c r="AC11">
        <v>0.25</v>
      </c>
      <c r="AD11">
        <v>0.25</v>
      </c>
      <c r="AE11">
        <v>0.25</v>
      </c>
      <c r="AF11">
        <v>0.25</v>
      </c>
      <c r="AG11">
        <v>0.25</v>
      </c>
      <c r="AH11">
        <v>0.25</v>
      </c>
    </row>
    <row r="12" spans="1:34">
      <c r="A12" s="49" t="str">
        <v>3ii</v>
      </c>
      <c r="B12">
        <v>0.25</v>
      </c>
      <c r="C12">
        <v>0.25</v>
      </c>
      <c r="D12">
        <v>0.25</v>
      </c>
      <c r="E12">
        <v>0.25</v>
      </c>
      <c r="F12">
        <v>0.25</v>
      </c>
      <c r="G12">
        <v>1</v>
      </c>
      <c r="H12">
        <v>0.75</v>
      </c>
      <c r="I12">
        <v>0.25</v>
      </c>
      <c r="J12">
        <v>0.25</v>
      </c>
      <c r="K12">
        <v>0.25</v>
      </c>
      <c r="L12">
        <v>0.25</v>
      </c>
      <c r="M12">
        <v>0.25</v>
      </c>
      <c r="N12">
        <v>0.25</v>
      </c>
      <c r="O12">
        <v>0.25</v>
      </c>
      <c r="P12">
        <v>0.25</v>
      </c>
      <c r="Q12">
        <v>0.25</v>
      </c>
      <c r="R12">
        <v>0.25</v>
      </c>
      <c r="S12">
        <v>0.25</v>
      </c>
      <c r="T12">
        <v>0.25</v>
      </c>
      <c r="U12">
        <v>0.25</v>
      </c>
      <c r="V12">
        <v>0.25</v>
      </c>
      <c r="W12">
        <v>0.25</v>
      </c>
      <c r="X12">
        <v>0.25</v>
      </c>
      <c r="Y12">
        <v>0.25</v>
      </c>
      <c r="Z12">
        <v>0.25</v>
      </c>
      <c r="AA12">
        <v>0.25</v>
      </c>
      <c r="AB12">
        <v>0.25</v>
      </c>
      <c r="AC12">
        <v>0.25</v>
      </c>
      <c r="AD12">
        <v>0.25</v>
      </c>
      <c r="AE12">
        <v>0.25</v>
      </c>
      <c r="AF12">
        <v>0.25</v>
      </c>
      <c r="AG12">
        <v>0.25</v>
      </c>
      <c r="AH12">
        <v>0.25</v>
      </c>
    </row>
    <row r="13" spans="1:34">
      <c r="A13" s="49" t="str">
        <v>3iii</v>
      </c>
      <c r="B13">
        <v>0.25</v>
      </c>
      <c r="C13">
        <v>0.25</v>
      </c>
      <c r="D13">
        <v>0.25</v>
      </c>
      <c r="E13">
        <v>0.25</v>
      </c>
      <c r="F13">
        <v>0.25</v>
      </c>
      <c r="G13">
        <v>0.75</v>
      </c>
      <c r="H13">
        <v>1</v>
      </c>
      <c r="I13">
        <v>0.25</v>
      </c>
      <c r="J13">
        <v>0.25</v>
      </c>
      <c r="K13">
        <v>0.25</v>
      </c>
      <c r="L13">
        <v>0.25</v>
      </c>
      <c r="M13">
        <v>0.25</v>
      </c>
      <c r="N13">
        <v>0.25</v>
      </c>
      <c r="O13">
        <v>0.25</v>
      </c>
      <c r="P13">
        <v>0.25</v>
      </c>
      <c r="Q13">
        <v>0.25</v>
      </c>
      <c r="R13">
        <v>0.25</v>
      </c>
      <c r="S13">
        <v>0.25</v>
      </c>
      <c r="T13">
        <v>0.25</v>
      </c>
      <c r="U13">
        <v>0.25</v>
      </c>
      <c r="V13">
        <v>0.25</v>
      </c>
      <c r="W13">
        <v>0.25</v>
      </c>
      <c r="X13">
        <v>0.25</v>
      </c>
      <c r="Y13">
        <v>0.25</v>
      </c>
      <c r="Z13">
        <v>0.25</v>
      </c>
      <c r="AA13">
        <v>0.25</v>
      </c>
      <c r="AB13">
        <v>0.25</v>
      </c>
      <c r="AC13">
        <v>0.25</v>
      </c>
      <c r="AD13">
        <v>0.25</v>
      </c>
      <c r="AE13">
        <v>0.25</v>
      </c>
      <c r="AF13">
        <v>0.25</v>
      </c>
      <c r="AG13">
        <v>0.25</v>
      </c>
      <c r="AH13">
        <v>0.25</v>
      </c>
    </row>
    <row r="14" spans="1:34">
      <c r="A14" s="49" t="str">
        <v>4i</v>
      </c>
      <c r="B14">
        <v>0.25</v>
      </c>
      <c r="C14">
        <v>0.25</v>
      </c>
      <c r="D14">
        <v>0.5</v>
      </c>
      <c r="E14">
        <v>0.5</v>
      </c>
      <c r="F14">
        <v>0.25</v>
      </c>
      <c r="G14">
        <v>0.25</v>
      </c>
      <c r="H14">
        <v>0.25</v>
      </c>
      <c r="I14">
        <v>1</v>
      </c>
      <c r="J14">
        <v>0.75</v>
      </c>
      <c r="K14">
        <v>0.25</v>
      </c>
      <c r="L14">
        <v>0.25</v>
      </c>
      <c r="M14">
        <v>0.25</v>
      </c>
      <c r="N14">
        <v>0.25</v>
      </c>
      <c r="O14">
        <v>0.25</v>
      </c>
      <c r="P14">
        <v>0.25</v>
      </c>
      <c r="Q14">
        <v>0.25</v>
      </c>
      <c r="R14">
        <v>0.25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0.25</v>
      </c>
      <c r="Y14">
        <v>0.25</v>
      </c>
      <c r="Z14">
        <v>0.25</v>
      </c>
      <c r="AA14">
        <v>0.25</v>
      </c>
      <c r="AB14">
        <v>0.25</v>
      </c>
      <c r="AC14">
        <v>0.25</v>
      </c>
      <c r="AD14">
        <v>0.25</v>
      </c>
      <c r="AE14">
        <v>0.25</v>
      </c>
      <c r="AF14">
        <v>0.25</v>
      </c>
      <c r="AG14">
        <v>0.25</v>
      </c>
      <c r="AH14">
        <v>0.25</v>
      </c>
    </row>
    <row r="15" spans="1:34">
      <c r="A15" s="49" t="str">
        <v>4ii</v>
      </c>
      <c r="B15">
        <v>0.25</v>
      </c>
      <c r="C15">
        <v>0.25</v>
      </c>
      <c r="D15">
        <v>0.5</v>
      </c>
      <c r="E15">
        <v>0.5</v>
      </c>
      <c r="F15">
        <v>0.25</v>
      </c>
      <c r="G15">
        <v>0.25</v>
      </c>
      <c r="H15">
        <v>0.25</v>
      </c>
      <c r="I15">
        <v>0.75</v>
      </c>
      <c r="J15">
        <v>1</v>
      </c>
      <c r="K15">
        <v>0.25</v>
      </c>
      <c r="L15">
        <v>0.25</v>
      </c>
      <c r="M15">
        <v>0.25</v>
      </c>
      <c r="N15">
        <v>0.25</v>
      </c>
      <c r="O15">
        <v>0.25</v>
      </c>
      <c r="P15">
        <v>0.25</v>
      </c>
      <c r="Q15">
        <v>0.25</v>
      </c>
      <c r="R15">
        <v>0.25</v>
      </c>
      <c r="S15">
        <v>0.25</v>
      </c>
      <c r="T15">
        <v>0.25</v>
      </c>
      <c r="U15">
        <v>0.25</v>
      </c>
      <c r="V15">
        <v>0.25</v>
      </c>
      <c r="W15">
        <v>0.25</v>
      </c>
      <c r="X15">
        <v>0.25</v>
      </c>
      <c r="Y15">
        <v>0.25</v>
      </c>
      <c r="Z15">
        <v>0.25</v>
      </c>
      <c r="AA15">
        <v>0.25</v>
      </c>
      <c r="AB15">
        <v>0.25</v>
      </c>
      <c r="AC15">
        <v>0.25</v>
      </c>
      <c r="AD15">
        <v>0.25</v>
      </c>
      <c r="AE15">
        <v>0.25</v>
      </c>
      <c r="AF15">
        <v>0.25</v>
      </c>
      <c r="AG15">
        <v>0.25</v>
      </c>
      <c r="AH15">
        <v>0.25</v>
      </c>
    </row>
    <row r="16" spans="1:34">
      <c r="A16" s="49" t="str">
        <v>5i</v>
      </c>
      <c r="B16">
        <v>0.25</v>
      </c>
      <c r="C16">
        <v>0.25</v>
      </c>
      <c r="D16">
        <v>0.25</v>
      </c>
      <c r="E16">
        <v>0.25</v>
      </c>
      <c r="F16">
        <v>0.25</v>
      </c>
      <c r="G16">
        <v>0.25</v>
      </c>
      <c r="H16">
        <v>0.25</v>
      </c>
      <c r="I16">
        <v>0.25</v>
      </c>
      <c r="J16">
        <v>0.25</v>
      </c>
      <c r="K16">
        <v>1</v>
      </c>
      <c r="L16">
        <v>0.75</v>
      </c>
      <c r="M16">
        <v>0.25</v>
      </c>
      <c r="N16">
        <v>0.25</v>
      </c>
      <c r="O16">
        <v>0.5</v>
      </c>
      <c r="P16">
        <v>0.5</v>
      </c>
      <c r="Q16">
        <v>0.25</v>
      </c>
      <c r="R16">
        <v>0.25</v>
      </c>
      <c r="S16">
        <v>0.25</v>
      </c>
      <c r="T16">
        <v>0.25</v>
      </c>
      <c r="U16">
        <v>0.25</v>
      </c>
      <c r="V16">
        <v>0.25</v>
      </c>
      <c r="W16">
        <v>0.25</v>
      </c>
      <c r="X16">
        <v>0.25</v>
      </c>
      <c r="Y16">
        <v>0.25</v>
      </c>
      <c r="Z16">
        <v>0.25</v>
      </c>
      <c r="AA16">
        <v>0.25</v>
      </c>
      <c r="AB16">
        <v>0.25</v>
      </c>
      <c r="AC16">
        <v>0.25</v>
      </c>
      <c r="AD16">
        <v>0.25</v>
      </c>
      <c r="AE16">
        <v>0.25</v>
      </c>
      <c r="AF16">
        <v>0.25</v>
      </c>
      <c r="AG16">
        <v>0.25</v>
      </c>
      <c r="AH16">
        <v>0.25</v>
      </c>
    </row>
    <row r="17" spans="1:34">
      <c r="A17" s="49" t="str">
        <v>5ii</v>
      </c>
      <c r="B17">
        <v>0.25</v>
      </c>
      <c r="C17">
        <v>0.25</v>
      </c>
      <c r="D17">
        <v>0.25</v>
      </c>
      <c r="E17">
        <v>0.25</v>
      </c>
      <c r="F17">
        <v>0.25</v>
      </c>
      <c r="G17">
        <v>0.25</v>
      </c>
      <c r="H17">
        <v>0.25</v>
      </c>
      <c r="I17">
        <v>0.25</v>
      </c>
      <c r="J17">
        <v>0.25</v>
      </c>
      <c r="K17">
        <v>0.75</v>
      </c>
      <c r="L17">
        <v>1</v>
      </c>
      <c r="M17">
        <v>0.25</v>
      </c>
      <c r="N17">
        <v>0.25</v>
      </c>
      <c r="O17">
        <v>0.5</v>
      </c>
      <c r="P17">
        <v>0.5</v>
      </c>
      <c r="Q17">
        <v>0.25</v>
      </c>
      <c r="R17">
        <v>0.25</v>
      </c>
      <c r="S17">
        <v>0.25</v>
      </c>
      <c r="T17">
        <v>0.25</v>
      </c>
      <c r="U17">
        <v>0.25</v>
      </c>
      <c r="V17">
        <v>0.25</v>
      </c>
      <c r="W17">
        <v>0.25</v>
      </c>
      <c r="X17">
        <v>0.25</v>
      </c>
      <c r="Y17">
        <v>0.25</v>
      </c>
      <c r="Z17">
        <v>0.25</v>
      </c>
      <c r="AA17">
        <v>0.25</v>
      </c>
      <c r="AB17">
        <v>0.25</v>
      </c>
      <c r="AC17">
        <v>0.25</v>
      </c>
      <c r="AD17">
        <v>0.25</v>
      </c>
      <c r="AE17">
        <v>0.25</v>
      </c>
      <c r="AF17">
        <v>0.25</v>
      </c>
      <c r="AG17">
        <v>0.25</v>
      </c>
      <c r="AH17">
        <v>0.25</v>
      </c>
    </row>
    <row r="18" spans="1:34">
      <c r="A18" s="49" t="str">
        <v>6i</v>
      </c>
      <c r="B18">
        <v>0.25</v>
      </c>
      <c r="C18">
        <v>0.25</v>
      </c>
      <c r="D18">
        <v>0.25</v>
      </c>
      <c r="E18">
        <v>0.25</v>
      </c>
      <c r="F18">
        <v>0.25</v>
      </c>
      <c r="G18">
        <v>0.25</v>
      </c>
      <c r="H18">
        <v>0.25</v>
      </c>
      <c r="I18">
        <v>0.25</v>
      </c>
      <c r="J18">
        <v>0.25</v>
      </c>
      <c r="K18">
        <v>0.25</v>
      </c>
      <c r="L18">
        <v>0.25</v>
      </c>
      <c r="M18">
        <v>1</v>
      </c>
      <c r="N18">
        <v>0.75</v>
      </c>
      <c r="O18">
        <v>0.5</v>
      </c>
      <c r="P18">
        <v>0.5</v>
      </c>
      <c r="Q18">
        <v>0.25</v>
      </c>
      <c r="R18">
        <v>0.25</v>
      </c>
      <c r="S18">
        <v>0.25</v>
      </c>
      <c r="T18">
        <v>0.25</v>
      </c>
      <c r="U18">
        <v>0.25</v>
      </c>
      <c r="V18">
        <v>0.25</v>
      </c>
      <c r="W18">
        <v>0.25</v>
      </c>
      <c r="X18">
        <v>0.25</v>
      </c>
      <c r="Y18">
        <v>0.25</v>
      </c>
      <c r="Z18">
        <v>0.25</v>
      </c>
      <c r="AA18">
        <v>0.25</v>
      </c>
      <c r="AB18">
        <v>0.25</v>
      </c>
      <c r="AC18">
        <v>0.25</v>
      </c>
      <c r="AD18">
        <v>0.25</v>
      </c>
      <c r="AE18">
        <v>0.25</v>
      </c>
      <c r="AF18">
        <v>0.25</v>
      </c>
      <c r="AG18">
        <v>0.25</v>
      </c>
      <c r="AH18">
        <v>0.25</v>
      </c>
    </row>
    <row r="19" spans="1:34">
      <c r="A19" s="49" t="str">
        <v>6ii</v>
      </c>
      <c r="B19">
        <v>0.25</v>
      </c>
      <c r="C19">
        <v>0.25</v>
      </c>
      <c r="D19">
        <v>0.25</v>
      </c>
      <c r="E19">
        <v>0.25</v>
      </c>
      <c r="F19">
        <v>0.25</v>
      </c>
      <c r="G19">
        <v>0.25</v>
      </c>
      <c r="H19">
        <v>0.25</v>
      </c>
      <c r="I19">
        <v>0.25</v>
      </c>
      <c r="J19">
        <v>0.25</v>
      </c>
      <c r="K19">
        <v>0.25</v>
      </c>
      <c r="L19">
        <v>0.25</v>
      </c>
      <c r="M19">
        <v>0.75</v>
      </c>
      <c r="N19">
        <v>1</v>
      </c>
      <c r="O19">
        <v>0.5</v>
      </c>
      <c r="P19">
        <v>0.5</v>
      </c>
      <c r="Q19">
        <v>0.25</v>
      </c>
      <c r="R19">
        <v>0.25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0.25</v>
      </c>
      <c r="Y19">
        <v>0.25</v>
      </c>
      <c r="Z19">
        <v>0.25</v>
      </c>
      <c r="AA19">
        <v>0.25</v>
      </c>
      <c r="AB19">
        <v>0.25</v>
      </c>
      <c r="AC19">
        <v>0.25</v>
      </c>
      <c r="AD19">
        <v>0.25</v>
      </c>
      <c r="AE19">
        <v>0.25</v>
      </c>
      <c r="AF19">
        <v>0.25</v>
      </c>
      <c r="AG19">
        <v>0.25</v>
      </c>
      <c r="AH19">
        <v>0.25</v>
      </c>
    </row>
    <row r="20" spans="1:34">
      <c r="A20" s="49" t="str">
        <v>7i</v>
      </c>
      <c r="B20">
        <v>0.25</v>
      </c>
      <c r="C20">
        <v>0.25</v>
      </c>
      <c r="D20">
        <v>0.25</v>
      </c>
      <c r="E20">
        <v>0.25</v>
      </c>
      <c r="F20">
        <v>0.25</v>
      </c>
      <c r="G20">
        <v>0.25</v>
      </c>
      <c r="H20">
        <v>0.25</v>
      </c>
      <c r="I20">
        <v>0.25</v>
      </c>
      <c r="J20">
        <v>0.25</v>
      </c>
      <c r="K20">
        <v>0.5</v>
      </c>
      <c r="L20">
        <v>0.5</v>
      </c>
      <c r="M20">
        <v>0.5</v>
      </c>
      <c r="N20">
        <v>0.5</v>
      </c>
      <c r="O20">
        <v>1</v>
      </c>
      <c r="P20">
        <v>0.75</v>
      </c>
      <c r="Q20">
        <v>0.5</v>
      </c>
      <c r="R20">
        <v>0.5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0.25</v>
      </c>
      <c r="Y20">
        <v>0.25</v>
      </c>
      <c r="Z20">
        <v>0.25</v>
      </c>
      <c r="AA20">
        <v>0.25</v>
      </c>
      <c r="AB20">
        <v>0.25</v>
      </c>
      <c r="AC20">
        <v>0.25</v>
      </c>
      <c r="AD20">
        <v>0.25</v>
      </c>
      <c r="AE20">
        <v>0.25</v>
      </c>
      <c r="AF20">
        <v>0.25</v>
      </c>
      <c r="AG20">
        <v>0.25</v>
      </c>
      <c r="AH20">
        <v>0.25</v>
      </c>
    </row>
    <row r="21" spans="1:34">
      <c r="A21" s="49" t="str">
        <v>7ii</v>
      </c>
      <c r="B21">
        <v>0.25</v>
      </c>
      <c r="C21">
        <v>0.25</v>
      </c>
      <c r="D21">
        <v>0.25</v>
      </c>
      <c r="E21">
        <v>0.25</v>
      </c>
      <c r="F21">
        <v>0.25</v>
      </c>
      <c r="G21">
        <v>0.25</v>
      </c>
      <c r="H21">
        <v>0.25</v>
      </c>
      <c r="I21">
        <v>0.25</v>
      </c>
      <c r="J21">
        <v>0.25</v>
      </c>
      <c r="K21">
        <v>0.5</v>
      </c>
      <c r="L21">
        <v>0.5</v>
      </c>
      <c r="M21">
        <v>0.5</v>
      </c>
      <c r="N21">
        <v>0.5</v>
      </c>
      <c r="O21">
        <v>0.75</v>
      </c>
      <c r="P21">
        <v>1</v>
      </c>
      <c r="Q21">
        <v>0.5</v>
      </c>
      <c r="R21">
        <v>0.5</v>
      </c>
      <c r="S21">
        <v>0.25</v>
      </c>
      <c r="T21">
        <v>0.25</v>
      </c>
      <c r="U21">
        <v>0.25</v>
      </c>
      <c r="V21">
        <v>0.25</v>
      </c>
      <c r="W21">
        <v>0.25</v>
      </c>
      <c r="X21">
        <v>0.25</v>
      </c>
      <c r="Y21">
        <v>0.25</v>
      </c>
      <c r="Z21">
        <v>0.25</v>
      </c>
      <c r="AA21">
        <v>0.25</v>
      </c>
      <c r="AB21">
        <v>0.25</v>
      </c>
      <c r="AC21">
        <v>0.25</v>
      </c>
      <c r="AD21">
        <v>0.25</v>
      </c>
      <c r="AE21">
        <v>0.25</v>
      </c>
      <c r="AF21">
        <v>0.25</v>
      </c>
      <c r="AG21">
        <v>0.25</v>
      </c>
      <c r="AH21">
        <v>0.25</v>
      </c>
    </row>
    <row r="22" spans="1:34">
      <c r="A22" s="49" t="str">
        <v>8i</v>
      </c>
      <c r="B22">
        <v>0.25</v>
      </c>
      <c r="C22">
        <v>0.25</v>
      </c>
      <c r="D22">
        <v>0.25</v>
      </c>
      <c r="E22">
        <v>0.25</v>
      </c>
      <c r="F22">
        <v>0.25</v>
      </c>
      <c r="G22">
        <v>0.25</v>
      </c>
      <c r="H22">
        <v>0.25</v>
      </c>
      <c r="I22">
        <v>0.25</v>
      </c>
      <c r="J22">
        <v>0.25</v>
      </c>
      <c r="K22">
        <v>0.25</v>
      </c>
      <c r="L22">
        <v>0.25</v>
      </c>
      <c r="M22">
        <v>0.25</v>
      </c>
      <c r="N22">
        <v>0.25</v>
      </c>
      <c r="O22">
        <v>0.5</v>
      </c>
      <c r="P22">
        <v>0.5</v>
      </c>
      <c r="Q22">
        <v>1</v>
      </c>
      <c r="R22">
        <v>0.75</v>
      </c>
      <c r="S22">
        <v>0.25</v>
      </c>
      <c r="T22">
        <v>0.25</v>
      </c>
      <c r="U22">
        <v>0.25</v>
      </c>
      <c r="V22">
        <v>0.25</v>
      </c>
      <c r="W22">
        <v>0.25</v>
      </c>
      <c r="X22">
        <v>0.25</v>
      </c>
      <c r="Y22">
        <v>0.25</v>
      </c>
      <c r="Z22">
        <v>0.25</v>
      </c>
      <c r="AA22">
        <v>0.25</v>
      </c>
      <c r="AB22">
        <v>0.25</v>
      </c>
      <c r="AC22">
        <v>0.25</v>
      </c>
      <c r="AD22">
        <v>0.25</v>
      </c>
      <c r="AE22">
        <v>0.25</v>
      </c>
      <c r="AF22">
        <v>0.25</v>
      </c>
      <c r="AG22">
        <v>0.25</v>
      </c>
      <c r="AH22">
        <v>0.25</v>
      </c>
    </row>
    <row r="23" spans="1:34">
      <c r="A23" s="49" t="str">
        <v>8ii</v>
      </c>
      <c r="B23">
        <v>0.25</v>
      </c>
      <c r="C23">
        <v>0.25</v>
      </c>
      <c r="D23">
        <v>0.25</v>
      </c>
      <c r="E23">
        <v>0.25</v>
      </c>
      <c r="F23">
        <v>0.25</v>
      </c>
      <c r="G23">
        <v>0.25</v>
      </c>
      <c r="H23">
        <v>0.25</v>
      </c>
      <c r="I23">
        <v>0.25</v>
      </c>
      <c r="J23">
        <v>0.25</v>
      </c>
      <c r="K23">
        <v>0.25</v>
      </c>
      <c r="L23">
        <v>0.25</v>
      </c>
      <c r="M23">
        <v>0.25</v>
      </c>
      <c r="N23">
        <v>0.25</v>
      </c>
      <c r="O23">
        <v>0.5</v>
      </c>
      <c r="P23">
        <v>0.5</v>
      </c>
      <c r="Q23">
        <v>0.75</v>
      </c>
      <c r="R23">
        <v>1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0.25</v>
      </c>
      <c r="Y23">
        <v>0.25</v>
      </c>
      <c r="Z23">
        <v>0.25</v>
      </c>
      <c r="AA23">
        <v>0.25</v>
      </c>
      <c r="AB23">
        <v>0.25</v>
      </c>
      <c r="AC23">
        <v>0.25</v>
      </c>
      <c r="AD23">
        <v>0.25</v>
      </c>
      <c r="AE23">
        <v>0.25</v>
      </c>
      <c r="AF23">
        <v>0.25</v>
      </c>
      <c r="AG23">
        <v>0.25</v>
      </c>
      <c r="AH23">
        <v>0.25</v>
      </c>
    </row>
    <row r="24" spans="1:34">
      <c r="A24" s="49" t="str">
        <v>9</v>
      </c>
      <c r="B24">
        <v>0.5</v>
      </c>
      <c r="C24">
        <v>0.5</v>
      </c>
      <c r="D24">
        <v>0.25</v>
      </c>
      <c r="E24">
        <v>0.25</v>
      </c>
      <c r="F24">
        <v>0.5</v>
      </c>
      <c r="G24">
        <v>0.25</v>
      </c>
      <c r="H24">
        <v>0.25</v>
      </c>
      <c r="I24">
        <v>0.25</v>
      </c>
      <c r="J24">
        <v>0.25</v>
      </c>
      <c r="K24">
        <v>0.25</v>
      </c>
      <c r="L24">
        <v>0.25</v>
      </c>
      <c r="M24">
        <v>0.25</v>
      </c>
      <c r="N24">
        <v>0.25</v>
      </c>
      <c r="O24">
        <v>0.25</v>
      </c>
      <c r="P24">
        <v>0.25</v>
      </c>
      <c r="Q24">
        <v>0.25</v>
      </c>
      <c r="R24">
        <v>0.25</v>
      </c>
      <c r="S24">
        <v>1</v>
      </c>
      <c r="T24">
        <v>1</v>
      </c>
      <c r="U24">
        <v>0.25</v>
      </c>
      <c r="V24">
        <v>0.25</v>
      </c>
      <c r="W24">
        <v>0.25</v>
      </c>
      <c r="X24">
        <v>0.5</v>
      </c>
      <c r="Y24">
        <v>0.25</v>
      </c>
      <c r="Z24">
        <v>0.25</v>
      </c>
      <c r="AA24">
        <v>0.25</v>
      </c>
      <c r="AB24">
        <v>0.5</v>
      </c>
      <c r="AC24">
        <v>0.25</v>
      </c>
      <c r="AD24">
        <v>0.25</v>
      </c>
      <c r="AE24">
        <v>0.25</v>
      </c>
      <c r="AF24">
        <v>0.25</v>
      </c>
      <c r="AG24">
        <v>0.25</v>
      </c>
      <c r="AH24">
        <v>0.25</v>
      </c>
    </row>
    <row r="25" spans="1:34">
      <c r="A25" s="49" t="str">
        <v>9</v>
      </c>
      <c r="B25">
        <v>0.5</v>
      </c>
      <c r="C25">
        <v>0.5</v>
      </c>
      <c r="D25">
        <v>0.25</v>
      </c>
      <c r="E25">
        <v>0.25</v>
      </c>
      <c r="F25">
        <v>0.5</v>
      </c>
      <c r="G25">
        <v>0.25</v>
      </c>
      <c r="H25">
        <v>0.25</v>
      </c>
      <c r="I25">
        <v>0.25</v>
      </c>
      <c r="J25">
        <v>0.25</v>
      </c>
      <c r="K25">
        <v>0.25</v>
      </c>
      <c r="L25">
        <v>0.25</v>
      </c>
      <c r="M25">
        <v>0.25</v>
      </c>
      <c r="N25">
        <v>0.25</v>
      </c>
      <c r="O25">
        <v>0.25</v>
      </c>
      <c r="P25">
        <v>0.25</v>
      </c>
      <c r="Q25">
        <v>0.25</v>
      </c>
      <c r="R25">
        <v>0.25</v>
      </c>
      <c r="S25">
        <v>1</v>
      </c>
      <c r="T25">
        <v>1</v>
      </c>
      <c r="U25">
        <v>0.25</v>
      </c>
      <c r="V25">
        <v>0.25</v>
      </c>
      <c r="W25">
        <v>0.25</v>
      </c>
      <c r="X25">
        <v>0.5</v>
      </c>
      <c r="Y25">
        <v>0.25</v>
      </c>
      <c r="Z25">
        <v>0.25</v>
      </c>
      <c r="AA25">
        <v>0.25</v>
      </c>
      <c r="AB25">
        <v>0.5</v>
      </c>
      <c r="AC25">
        <v>0.25</v>
      </c>
      <c r="AD25">
        <v>0.25</v>
      </c>
      <c r="AE25">
        <v>0.25</v>
      </c>
      <c r="AF25">
        <v>0.25</v>
      </c>
      <c r="AG25">
        <v>0.25</v>
      </c>
      <c r="AH25">
        <v>0.25</v>
      </c>
    </row>
    <row r="26" spans="1:34">
      <c r="A26" s="49" t="str">
        <v>10ii</v>
      </c>
      <c r="B26">
        <v>0.25</v>
      </c>
      <c r="C26">
        <v>0.25</v>
      </c>
      <c r="D26">
        <v>0.25</v>
      </c>
      <c r="E26">
        <v>0.25</v>
      </c>
      <c r="F26">
        <v>0.25</v>
      </c>
      <c r="G26">
        <v>0.25</v>
      </c>
      <c r="H26">
        <v>0.25</v>
      </c>
      <c r="I26">
        <v>0.25</v>
      </c>
      <c r="J26">
        <v>0.25</v>
      </c>
      <c r="K26">
        <v>0.25</v>
      </c>
      <c r="L26">
        <v>0.25</v>
      </c>
      <c r="M26">
        <v>0.25</v>
      </c>
      <c r="N26">
        <v>0.25</v>
      </c>
      <c r="O26">
        <v>0.25</v>
      </c>
      <c r="P26">
        <v>0.25</v>
      </c>
      <c r="Q26">
        <v>0.25</v>
      </c>
      <c r="R26">
        <v>0.25</v>
      </c>
      <c r="S26">
        <v>0.25</v>
      </c>
      <c r="T26">
        <v>0.25</v>
      </c>
      <c r="U26">
        <v>1</v>
      </c>
      <c r="V26">
        <v>0.25</v>
      </c>
      <c r="W26">
        <v>0.25</v>
      </c>
      <c r="X26">
        <v>0.25</v>
      </c>
      <c r="Y26">
        <v>0.25</v>
      </c>
      <c r="Z26">
        <v>0.5</v>
      </c>
      <c r="AA26">
        <v>0.25</v>
      </c>
      <c r="AB26">
        <v>0.25</v>
      </c>
      <c r="AC26">
        <v>0.25</v>
      </c>
      <c r="AD26">
        <v>0.25</v>
      </c>
      <c r="AE26">
        <v>0.25</v>
      </c>
      <c r="AF26">
        <v>0.25</v>
      </c>
      <c r="AG26">
        <v>0.25</v>
      </c>
      <c r="AH26">
        <v>0.25</v>
      </c>
    </row>
    <row r="27" spans="1:34">
      <c r="A27" s="49" t="str">
        <v>10iii</v>
      </c>
      <c r="B27">
        <v>0.25</v>
      </c>
      <c r="C27">
        <v>0.25</v>
      </c>
      <c r="D27">
        <v>0.25</v>
      </c>
      <c r="E27">
        <v>0.25</v>
      </c>
      <c r="F27">
        <v>0.25</v>
      </c>
      <c r="G27">
        <v>0.25</v>
      </c>
      <c r="H27">
        <v>0.25</v>
      </c>
      <c r="I27">
        <v>0.25</v>
      </c>
      <c r="J27">
        <v>0.25</v>
      </c>
      <c r="K27">
        <v>0.25</v>
      </c>
      <c r="L27">
        <v>0.25</v>
      </c>
      <c r="M27">
        <v>0.25</v>
      </c>
      <c r="N27">
        <v>0.25</v>
      </c>
      <c r="O27">
        <v>0.25</v>
      </c>
      <c r="P27">
        <v>0.25</v>
      </c>
      <c r="Q27">
        <v>0.25</v>
      </c>
      <c r="R27">
        <v>0.25</v>
      </c>
      <c r="S27">
        <v>0.25</v>
      </c>
      <c r="T27">
        <v>0.25</v>
      </c>
      <c r="U27">
        <v>0.25</v>
      </c>
      <c r="V27">
        <v>1</v>
      </c>
      <c r="W27">
        <v>0.25</v>
      </c>
      <c r="X27">
        <v>0.5</v>
      </c>
      <c r="Y27">
        <v>0.25</v>
      </c>
      <c r="Z27">
        <v>0.5</v>
      </c>
      <c r="AA27">
        <v>0.25</v>
      </c>
      <c r="AB27">
        <v>0.25</v>
      </c>
      <c r="AC27">
        <v>0.25</v>
      </c>
      <c r="AD27">
        <v>0.25</v>
      </c>
      <c r="AE27">
        <v>0.25</v>
      </c>
      <c r="AF27">
        <v>0.25</v>
      </c>
      <c r="AG27">
        <v>0.25</v>
      </c>
      <c r="AH27">
        <v>0.25</v>
      </c>
    </row>
    <row r="28" spans="1:34">
      <c r="A28" s="49" t="str">
        <v>10iv</v>
      </c>
      <c r="B28">
        <v>0.25</v>
      </c>
      <c r="C28">
        <v>0.25</v>
      </c>
      <c r="D28">
        <v>0.25</v>
      </c>
      <c r="E28">
        <v>0.25</v>
      </c>
      <c r="F28">
        <v>0.25</v>
      </c>
      <c r="G28">
        <v>0.25</v>
      </c>
      <c r="H28">
        <v>0.25</v>
      </c>
      <c r="I28">
        <v>0.25</v>
      </c>
      <c r="J28">
        <v>0.25</v>
      </c>
      <c r="K28">
        <v>0.25</v>
      </c>
      <c r="L28">
        <v>0.25</v>
      </c>
      <c r="M28">
        <v>0.25</v>
      </c>
      <c r="N28">
        <v>0.25</v>
      </c>
      <c r="O28">
        <v>0.25</v>
      </c>
      <c r="P28">
        <v>0.25</v>
      </c>
      <c r="Q28">
        <v>0.25</v>
      </c>
      <c r="R28">
        <v>0.25</v>
      </c>
      <c r="S28">
        <v>0.25</v>
      </c>
      <c r="T28">
        <v>0.25</v>
      </c>
      <c r="U28">
        <v>0.25</v>
      </c>
      <c r="V28">
        <v>0.25</v>
      </c>
      <c r="W28">
        <v>1</v>
      </c>
      <c r="X28">
        <v>0.25</v>
      </c>
      <c r="Y28">
        <v>0.25</v>
      </c>
      <c r="Z28">
        <v>0.5</v>
      </c>
      <c r="AA28">
        <v>0.25</v>
      </c>
      <c r="AB28">
        <v>0.25</v>
      </c>
      <c r="AC28">
        <v>0.25</v>
      </c>
      <c r="AD28">
        <v>0.25</v>
      </c>
      <c r="AE28">
        <v>0.25</v>
      </c>
      <c r="AF28">
        <v>0.25</v>
      </c>
      <c r="AG28">
        <v>0.25</v>
      </c>
      <c r="AH28">
        <v>0.25</v>
      </c>
    </row>
    <row r="29" spans="1:34">
      <c r="A29" s="49" t="str">
        <v>10v</v>
      </c>
      <c r="B29">
        <v>0.25</v>
      </c>
      <c r="C29">
        <v>0.25</v>
      </c>
      <c r="D29">
        <v>0.25</v>
      </c>
      <c r="E29">
        <v>0.25</v>
      </c>
      <c r="F29">
        <v>0.25</v>
      </c>
      <c r="G29">
        <v>0.25</v>
      </c>
      <c r="H29">
        <v>0.25</v>
      </c>
      <c r="I29">
        <v>0.25</v>
      </c>
      <c r="J29">
        <v>0.25</v>
      </c>
      <c r="K29">
        <v>0.25</v>
      </c>
      <c r="L29">
        <v>0.25</v>
      </c>
      <c r="M29">
        <v>0.25</v>
      </c>
      <c r="N29">
        <v>0.25</v>
      </c>
      <c r="O29">
        <v>0.25</v>
      </c>
      <c r="P29">
        <v>0.25</v>
      </c>
      <c r="Q29">
        <v>0.25</v>
      </c>
      <c r="R29">
        <v>0.25</v>
      </c>
      <c r="S29">
        <v>0.5</v>
      </c>
      <c r="T29">
        <v>0.5</v>
      </c>
      <c r="U29">
        <v>0.25</v>
      </c>
      <c r="V29">
        <v>0.5</v>
      </c>
      <c r="W29">
        <v>0.25</v>
      </c>
      <c r="X29">
        <v>1</v>
      </c>
      <c r="Y29">
        <v>0.25</v>
      </c>
      <c r="Z29">
        <v>0.5</v>
      </c>
      <c r="AA29">
        <v>0.25</v>
      </c>
      <c r="AB29">
        <v>0.5</v>
      </c>
      <c r="AC29">
        <v>0.25</v>
      </c>
      <c r="AD29">
        <v>0.25</v>
      </c>
      <c r="AE29">
        <v>0.25</v>
      </c>
      <c r="AF29">
        <v>0.25</v>
      </c>
      <c r="AG29">
        <v>0.25</v>
      </c>
      <c r="AH29">
        <v>0.25</v>
      </c>
    </row>
    <row r="30" spans="1:34">
      <c r="A30" s="49" t="str">
        <v>10vi</v>
      </c>
      <c r="B30">
        <v>0.25</v>
      </c>
      <c r="C30">
        <v>0.25</v>
      </c>
      <c r="D30">
        <v>0.25</v>
      </c>
      <c r="E30">
        <v>0.25</v>
      </c>
      <c r="F30">
        <v>0.25</v>
      </c>
      <c r="G30">
        <v>0.25</v>
      </c>
      <c r="H30">
        <v>0.25</v>
      </c>
      <c r="I30">
        <v>0.25</v>
      </c>
      <c r="J30">
        <v>0.25</v>
      </c>
      <c r="K30">
        <v>0.25</v>
      </c>
      <c r="L30">
        <v>0.25</v>
      </c>
      <c r="M30">
        <v>0.25</v>
      </c>
      <c r="N30">
        <v>0.25</v>
      </c>
      <c r="O30">
        <v>0.25</v>
      </c>
      <c r="P30">
        <v>0.25</v>
      </c>
      <c r="Q30">
        <v>0.25</v>
      </c>
      <c r="R30">
        <v>0.25</v>
      </c>
      <c r="S30">
        <v>0.25</v>
      </c>
      <c r="T30">
        <v>0.25</v>
      </c>
      <c r="U30">
        <v>0.25</v>
      </c>
      <c r="V30">
        <v>0.25</v>
      </c>
      <c r="W30">
        <v>0.25</v>
      </c>
      <c r="X30">
        <v>0.25</v>
      </c>
      <c r="Y30">
        <v>1</v>
      </c>
      <c r="Z30">
        <v>0.5</v>
      </c>
      <c r="AA30">
        <v>0.25</v>
      </c>
      <c r="AB30">
        <v>0.25</v>
      </c>
      <c r="AC30">
        <v>0.25</v>
      </c>
      <c r="AD30">
        <v>0.5</v>
      </c>
      <c r="AE30">
        <v>0.25</v>
      </c>
      <c r="AF30">
        <v>0.25</v>
      </c>
      <c r="AG30">
        <v>0.25</v>
      </c>
      <c r="AH30">
        <v>0.25</v>
      </c>
    </row>
    <row r="31" spans="1:34">
      <c r="A31" s="49" t="str">
        <v>10vii</v>
      </c>
      <c r="B31">
        <v>0.25</v>
      </c>
      <c r="C31">
        <v>0.25</v>
      </c>
      <c r="D31">
        <v>0.25</v>
      </c>
      <c r="E31">
        <v>0.25</v>
      </c>
      <c r="F31">
        <v>0.25</v>
      </c>
      <c r="G31">
        <v>0.25</v>
      </c>
      <c r="H31">
        <v>0.25</v>
      </c>
      <c r="I31">
        <v>0.25</v>
      </c>
      <c r="J31">
        <v>0.25</v>
      </c>
      <c r="K31">
        <v>0.25</v>
      </c>
      <c r="L31">
        <v>0.25</v>
      </c>
      <c r="M31">
        <v>0.25</v>
      </c>
      <c r="N31">
        <v>0.25</v>
      </c>
      <c r="O31">
        <v>0.25</v>
      </c>
      <c r="P31">
        <v>0.25</v>
      </c>
      <c r="Q31">
        <v>0.25</v>
      </c>
      <c r="R31">
        <v>0.25</v>
      </c>
      <c r="S31">
        <v>0.25</v>
      </c>
      <c r="T31">
        <v>0.25</v>
      </c>
      <c r="U31">
        <v>0.5</v>
      </c>
      <c r="V31">
        <v>0.5</v>
      </c>
      <c r="W31">
        <v>0.5</v>
      </c>
      <c r="X31">
        <v>0.5</v>
      </c>
      <c r="Y31">
        <v>0.5</v>
      </c>
      <c r="Z31">
        <v>1</v>
      </c>
      <c r="AA31">
        <v>0.25</v>
      </c>
      <c r="AB31">
        <v>0.25</v>
      </c>
      <c r="AC31">
        <v>0.25</v>
      </c>
      <c r="AD31">
        <v>0.25</v>
      </c>
      <c r="AE31">
        <v>0.25</v>
      </c>
      <c r="AF31">
        <v>0.25</v>
      </c>
      <c r="AG31">
        <v>0.25</v>
      </c>
      <c r="AH31">
        <v>0.25</v>
      </c>
    </row>
    <row r="32" spans="1:34">
      <c r="A32" s="49" t="str">
        <v>18b</v>
      </c>
      <c r="B32">
        <v>0.25</v>
      </c>
      <c r="C32">
        <v>0.25</v>
      </c>
      <c r="D32">
        <v>0.25</v>
      </c>
      <c r="E32">
        <v>0.25</v>
      </c>
      <c r="F32">
        <v>0.25</v>
      </c>
      <c r="G32">
        <v>0.25</v>
      </c>
      <c r="H32">
        <v>0.25</v>
      </c>
      <c r="I32">
        <v>0.25</v>
      </c>
      <c r="J32">
        <v>0.25</v>
      </c>
      <c r="K32">
        <v>0.25</v>
      </c>
      <c r="L32">
        <v>0.25</v>
      </c>
      <c r="M32">
        <v>0.25</v>
      </c>
      <c r="N32">
        <v>0.25</v>
      </c>
      <c r="O32">
        <v>0.25</v>
      </c>
      <c r="P32">
        <v>0.25</v>
      </c>
      <c r="Q32">
        <v>0.25</v>
      </c>
      <c r="R32">
        <v>0.25</v>
      </c>
      <c r="S32">
        <v>0.25</v>
      </c>
      <c r="T32">
        <v>0.25</v>
      </c>
      <c r="U32">
        <v>0.25</v>
      </c>
      <c r="V32">
        <v>0.25</v>
      </c>
      <c r="W32">
        <v>0.25</v>
      </c>
      <c r="X32">
        <v>0.25</v>
      </c>
      <c r="Y32">
        <v>0.25</v>
      </c>
      <c r="Z32">
        <v>0.25</v>
      </c>
      <c r="AA32">
        <v>1</v>
      </c>
      <c r="AB32">
        <v>0.25</v>
      </c>
      <c r="AC32">
        <v>0.25</v>
      </c>
      <c r="AD32">
        <v>0.25</v>
      </c>
      <c r="AE32">
        <v>0.25</v>
      </c>
      <c r="AF32">
        <v>1</v>
      </c>
      <c r="AG32">
        <v>0.25</v>
      </c>
      <c r="AH32">
        <v>0.25</v>
      </c>
    </row>
    <row r="33" spans="1:34">
      <c r="A33" s="49" t="str">
        <v>13</v>
      </c>
      <c r="B33">
        <v>0.25</v>
      </c>
      <c r="C33">
        <v>0.25</v>
      </c>
      <c r="D33">
        <v>0.25</v>
      </c>
      <c r="E33">
        <v>0.25</v>
      </c>
      <c r="F33">
        <v>0.25</v>
      </c>
      <c r="G33">
        <v>0.25</v>
      </c>
      <c r="H33">
        <v>0.25</v>
      </c>
      <c r="I33">
        <v>0.25</v>
      </c>
      <c r="J33">
        <v>0.25</v>
      </c>
      <c r="K33">
        <v>0.25</v>
      </c>
      <c r="L33">
        <v>0.25</v>
      </c>
      <c r="M33">
        <v>0.25</v>
      </c>
      <c r="N33">
        <v>0.25</v>
      </c>
      <c r="O33">
        <v>0.25</v>
      </c>
      <c r="P33">
        <v>0.25</v>
      </c>
      <c r="Q33">
        <v>0.25</v>
      </c>
      <c r="R33">
        <v>0.25</v>
      </c>
      <c r="S33">
        <v>0.5</v>
      </c>
      <c r="T33">
        <v>0.5</v>
      </c>
      <c r="U33">
        <v>0.25</v>
      </c>
      <c r="V33">
        <v>0.25</v>
      </c>
      <c r="W33">
        <v>0.25</v>
      </c>
      <c r="X33">
        <v>0.5</v>
      </c>
      <c r="Y33">
        <v>0.25</v>
      </c>
      <c r="Z33">
        <v>0.25</v>
      </c>
      <c r="AA33">
        <v>0.25</v>
      </c>
      <c r="AB33">
        <v>1</v>
      </c>
      <c r="AC33">
        <v>0.75</v>
      </c>
      <c r="AD33">
        <v>0.25</v>
      </c>
      <c r="AE33">
        <v>0.25</v>
      </c>
      <c r="AF33">
        <v>0.25</v>
      </c>
      <c r="AG33">
        <v>0.25</v>
      </c>
      <c r="AH33">
        <v>0.25</v>
      </c>
    </row>
    <row r="34" spans="1:34">
      <c r="A34" s="49" t="str">
        <v>14</v>
      </c>
      <c r="B34">
        <v>0.25</v>
      </c>
      <c r="C34">
        <v>0.25</v>
      </c>
      <c r="D34">
        <v>0.25</v>
      </c>
      <c r="E34">
        <v>0.25</v>
      </c>
      <c r="F34">
        <v>0.25</v>
      </c>
      <c r="G34">
        <v>0.25</v>
      </c>
      <c r="H34">
        <v>0.25</v>
      </c>
      <c r="I34">
        <v>0.25</v>
      </c>
      <c r="J34">
        <v>0.25</v>
      </c>
      <c r="K34">
        <v>0.25</v>
      </c>
      <c r="L34">
        <v>0.25</v>
      </c>
      <c r="M34">
        <v>0.25</v>
      </c>
      <c r="N34">
        <v>0.25</v>
      </c>
      <c r="O34">
        <v>0.25</v>
      </c>
      <c r="P34">
        <v>0.25</v>
      </c>
      <c r="Q34">
        <v>0.25</v>
      </c>
      <c r="R34">
        <v>0.25</v>
      </c>
      <c r="S34">
        <v>0.25</v>
      </c>
      <c r="T34">
        <v>0.25</v>
      </c>
      <c r="U34">
        <v>0.25</v>
      </c>
      <c r="V34">
        <v>0.25</v>
      </c>
      <c r="W34">
        <v>0.25</v>
      </c>
      <c r="X34">
        <v>0.25</v>
      </c>
      <c r="Y34">
        <v>0.25</v>
      </c>
      <c r="Z34">
        <v>0.25</v>
      </c>
      <c r="AA34">
        <v>0.25</v>
      </c>
      <c r="AB34">
        <v>0.75</v>
      </c>
      <c r="AC34">
        <v>1</v>
      </c>
      <c r="AD34">
        <v>0.25</v>
      </c>
      <c r="AE34">
        <v>0.25</v>
      </c>
      <c r="AF34">
        <v>0.25</v>
      </c>
      <c r="AG34">
        <v>0.25</v>
      </c>
      <c r="AH34">
        <v>0.25</v>
      </c>
    </row>
    <row r="35" spans="1:34">
      <c r="A35" s="49" t="str">
        <v>15</v>
      </c>
      <c r="B35">
        <v>0.25</v>
      </c>
      <c r="C35">
        <v>0.25</v>
      </c>
      <c r="D35">
        <v>0.25</v>
      </c>
      <c r="E35">
        <v>0.25</v>
      </c>
      <c r="F35">
        <v>0.25</v>
      </c>
      <c r="G35">
        <v>0.25</v>
      </c>
      <c r="H35">
        <v>0.25</v>
      </c>
      <c r="I35">
        <v>0.25</v>
      </c>
      <c r="J35">
        <v>0.25</v>
      </c>
      <c r="K35">
        <v>0.25</v>
      </c>
      <c r="L35">
        <v>0.25</v>
      </c>
      <c r="M35">
        <v>0.25</v>
      </c>
      <c r="N35">
        <v>0.25</v>
      </c>
      <c r="O35">
        <v>0.25</v>
      </c>
      <c r="P35">
        <v>0.25</v>
      </c>
      <c r="Q35">
        <v>0.25</v>
      </c>
      <c r="R35">
        <v>0.25</v>
      </c>
      <c r="S35">
        <v>0.25</v>
      </c>
      <c r="T35">
        <v>0.25</v>
      </c>
      <c r="U35">
        <v>0.25</v>
      </c>
      <c r="V35">
        <v>0.25</v>
      </c>
      <c r="W35">
        <v>0.25</v>
      </c>
      <c r="X35">
        <v>0.25</v>
      </c>
      <c r="Y35">
        <v>0.5</v>
      </c>
      <c r="Z35">
        <v>0.25</v>
      </c>
      <c r="AA35">
        <v>0.25</v>
      </c>
      <c r="AB35">
        <v>0.25</v>
      </c>
      <c r="AC35">
        <v>0.25</v>
      </c>
      <c r="AD35">
        <v>1</v>
      </c>
      <c r="AE35">
        <v>0.25</v>
      </c>
      <c r="AF35">
        <v>0.25</v>
      </c>
      <c r="AG35">
        <v>0.25</v>
      </c>
      <c r="AH35">
        <v>0.25</v>
      </c>
    </row>
    <row r="36" spans="1:34">
      <c r="A36" s="49" t="str">
        <v>16i</v>
      </c>
      <c r="B36">
        <v>0.25</v>
      </c>
      <c r="C36">
        <v>0.25</v>
      </c>
      <c r="D36">
        <v>0.25</v>
      </c>
      <c r="E36">
        <v>0.25</v>
      </c>
      <c r="F36">
        <v>0.25</v>
      </c>
      <c r="G36">
        <v>0.25</v>
      </c>
      <c r="H36">
        <v>0.25</v>
      </c>
      <c r="I36">
        <v>0.25</v>
      </c>
      <c r="J36">
        <v>0.25</v>
      </c>
      <c r="K36">
        <v>0.25</v>
      </c>
      <c r="L36">
        <v>0.25</v>
      </c>
      <c r="M36">
        <v>0.25</v>
      </c>
      <c r="N36">
        <v>0.25</v>
      </c>
      <c r="O36">
        <v>0.25</v>
      </c>
      <c r="P36">
        <v>0.25</v>
      </c>
      <c r="Q36">
        <v>0.25</v>
      </c>
      <c r="R36">
        <v>0.25</v>
      </c>
      <c r="S36">
        <v>0.25</v>
      </c>
      <c r="T36">
        <v>0.25</v>
      </c>
      <c r="U36">
        <v>0.25</v>
      </c>
      <c r="V36">
        <v>0.25</v>
      </c>
      <c r="W36">
        <v>0.25</v>
      </c>
      <c r="X36">
        <v>0.25</v>
      </c>
      <c r="Y36">
        <v>0.25</v>
      </c>
      <c r="Z36">
        <v>0.25</v>
      </c>
      <c r="AA36">
        <v>0.25</v>
      </c>
      <c r="AB36">
        <v>0.25</v>
      </c>
      <c r="AC36">
        <v>0.25</v>
      </c>
      <c r="AD36">
        <v>0.25</v>
      </c>
      <c r="AE36">
        <v>1</v>
      </c>
      <c r="AF36">
        <v>0.25</v>
      </c>
      <c r="AG36">
        <v>0.25</v>
      </c>
      <c r="AH36">
        <v>0.25</v>
      </c>
    </row>
    <row r="37" spans="1:34">
      <c r="A37" s="49" t="str">
        <v>18b</v>
      </c>
      <c r="B37">
        <v>0.25</v>
      </c>
      <c r="C37">
        <v>0.25</v>
      </c>
      <c r="D37">
        <v>0.25</v>
      </c>
      <c r="E37">
        <v>0.25</v>
      </c>
      <c r="F37">
        <v>0.25</v>
      </c>
      <c r="G37">
        <v>0.25</v>
      </c>
      <c r="H37">
        <v>0.25</v>
      </c>
      <c r="I37">
        <v>0.25</v>
      </c>
      <c r="J37">
        <v>0.25</v>
      </c>
      <c r="K37">
        <v>0.25</v>
      </c>
      <c r="L37">
        <v>0.25</v>
      </c>
      <c r="M37">
        <v>0.25</v>
      </c>
      <c r="N37">
        <v>0.25</v>
      </c>
      <c r="O37">
        <v>0.25</v>
      </c>
      <c r="P37">
        <v>0.25</v>
      </c>
      <c r="Q37">
        <v>0.25</v>
      </c>
      <c r="R37">
        <v>0.25</v>
      </c>
      <c r="S37">
        <v>0.25</v>
      </c>
      <c r="T37">
        <v>0.25</v>
      </c>
      <c r="U37">
        <v>0.25</v>
      </c>
      <c r="V37">
        <v>0.25</v>
      </c>
      <c r="W37">
        <v>0.25</v>
      </c>
      <c r="X37">
        <v>0.25</v>
      </c>
      <c r="Y37">
        <v>0.25</v>
      </c>
      <c r="Z37">
        <v>0.25</v>
      </c>
      <c r="AA37">
        <v>1</v>
      </c>
      <c r="AB37">
        <v>0.25</v>
      </c>
      <c r="AC37">
        <v>0.25</v>
      </c>
      <c r="AD37">
        <v>0.25</v>
      </c>
      <c r="AE37">
        <v>0.25</v>
      </c>
      <c r="AF37">
        <v>1</v>
      </c>
      <c r="AG37">
        <v>0.25</v>
      </c>
      <c r="AH37">
        <v>0.25</v>
      </c>
    </row>
    <row r="38" spans="1:34">
      <c r="A38" s="49" t="str">
        <v>18c</v>
      </c>
      <c r="B38">
        <v>0.25</v>
      </c>
      <c r="C38">
        <v>0.25</v>
      </c>
      <c r="D38">
        <v>0.25</v>
      </c>
      <c r="E38">
        <v>0.25</v>
      </c>
      <c r="F38">
        <v>0.25</v>
      </c>
      <c r="G38">
        <v>0.25</v>
      </c>
      <c r="H38">
        <v>0.25</v>
      </c>
      <c r="I38">
        <v>0.25</v>
      </c>
      <c r="J38">
        <v>0.25</v>
      </c>
      <c r="K38">
        <v>0.25</v>
      </c>
      <c r="L38">
        <v>0.25</v>
      </c>
      <c r="M38">
        <v>0.25</v>
      </c>
      <c r="N38">
        <v>0.25</v>
      </c>
      <c r="O38">
        <v>0.25</v>
      </c>
      <c r="P38">
        <v>0.25</v>
      </c>
      <c r="Q38">
        <v>0.25</v>
      </c>
      <c r="R38">
        <v>0.25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0.25</v>
      </c>
      <c r="Y38">
        <v>0.25</v>
      </c>
      <c r="Z38">
        <v>0.25</v>
      </c>
      <c r="AA38">
        <v>0.25</v>
      </c>
      <c r="AB38">
        <v>0.25</v>
      </c>
      <c r="AC38">
        <v>0.25</v>
      </c>
      <c r="AD38">
        <v>0.25</v>
      </c>
      <c r="AE38">
        <v>0.25</v>
      </c>
      <c r="AF38">
        <v>0.25</v>
      </c>
      <c r="AG38">
        <v>1</v>
      </c>
      <c r="AH38">
        <v>0.25</v>
      </c>
    </row>
    <row r="39" spans="1:34">
      <c r="A39" s="49" t="str">
        <v>17ii</v>
      </c>
      <c r="B39">
        <v>0.25</v>
      </c>
      <c r="C39">
        <v>0.25</v>
      </c>
      <c r="D39">
        <v>0.25</v>
      </c>
      <c r="E39">
        <v>0.25</v>
      </c>
      <c r="F39">
        <v>0.25</v>
      </c>
      <c r="G39">
        <v>0.25</v>
      </c>
      <c r="H39">
        <v>0.25</v>
      </c>
      <c r="I39">
        <v>0.25</v>
      </c>
      <c r="J39">
        <v>0.25</v>
      </c>
      <c r="K39">
        <v>0.25</v>
      </c>
      <c r="L39">
        <v>0.25</v>
      </c>
      <c r="M39">
        <v>0.25</v>
      </c>
      <c r="N39">
        <v>0.25</v>
      </c>
      <c r="O39">
        <v>0.25</v>
      </c>
      <c r="P39">
        <v>0.25</v>
      </c>
      <c r="Q39">
        <v>0.25</v>
      </c>
      <c r="R39">
        <v>0.25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0.25</v>
      </c>
      <c r="Y39">
        <v>0.25</v>
      </c>
      <c r="Z39">
        <v>0.25</v>
      </c>
      <c r="AA39">
        <v>0.25</v>
      </c>
      <c r="AB39">
        <v>0.25</v>
      </c>
      <c r="AC39">
        <v>0.25</v>
      </c>
      <c r="AD39">
        <v>0.25</v>
      </c>
      <c r="AE39">
        <v>0.25</v>
      </c>
      <c r="AF39">
        <v>0.25</v>
      </c>
      <c r="AG39">
        <v>0.25</v>
      </c>
      <c r="AH39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68153-1076-4485-8D59-D6EA5DBCA349}">
  <sheetPr codeName="Sheet31"/>
  <dimension ref="A1:BZ134"/>
  <sheetViews>
    <sheetView topLeftCell="AW1" zoomScale="85" zoomScaleNormal="85" workbookViewId="0">
      <selection activeCell="B20" sqref="B20"/>
    </sheetView>
  </sheetViews>
  <sheetFormatPr defaultRowHeight="14.5"/>
  <cols>
    <col min="1" max="1" width="7.453125" customWidth="1"/>
    <col min="2" max="2" width="12.81640625" bestFit="1" customWidth="1"/>
    <col min="3" max="3" width="19.6328125" customWidth="1"/>
    <col min="4" max="10" width="16.90625" customWidth="1"/>
    <col min="11" max="11" width="13.1796875" bestFit="1" customWidth="1"/>
    <col min="12" max="12" width="17.26953125" bestFit="1" customWidth="1"/>
    <col min="13" max="13" width="20" bestFit="1" customWidth="1"/>
    <col min="14" max="14" width="21.81640625" bestFit="1" customWidth="1"/>
    <col min="15" max="15" width="20.1796875" bestFit="1" customWidth="1"/>
    <col min="16" max="17" width="16.90625" bestFit="1" customWidth="1"/>
    <col min="18" max="18" width="1.26953125" customWidth="1"/>
    <col min="19" max="21" width="14.81640625" customWidth="1"/>
    <col min="22" max="22" width="1.26953125" customWidth="1"/>
    <col min="23" max="36" width="16.1796875" customWidth="1"/>
    <col min="37" max="37" width="1.453125" customWidth="1"/>
    <col min="38" max="51" width="16.1796875" customWidth="1"/>
    <col min="52" max="52" width="1.453125" customWidth="1"/>
    <col min="53" max="60" width="17" customWidth="1"/>
    <col min="61" max="61" width="1.1796875" customWidth="1"/>
    <col min="62" max="63" width="17" customWidth="1"/>
    <col min="64" max="64" width="1.54296875" customWidth="1"/>
    <col min="65" max="65" width="8.7265625" customWidth="1"/>
    <col min="66" max="67" width="13.81640625" customWidth="1"/>
    <col min="68" max="68" width="1.54296875" customWidth="1"/>
    <col min="69" max="70" width="15.81640625" style="72" customWidth="1"/>
    <col min="71" max="75" width="15.81640625" customWidth="1"/>
    <col min="76" max="76" width="1.1796875" customWidth="1"/>
    <col min="77" max="77" width="12" bestFit="1" customWidth="1"/>
    <col min="78" max="78" width="15.54296875" customWidth="1"/>
  </cols>
  <sheetData>
    <row r="1" spans="1:78">
      <c r="A1" t="str" cm="1">
        <f t="array" aca="1" ref="A1" ca="1">CELL("filename",A1)</f>
        <v>C:\Sync\git_hub\vba_samplicity\[01_magnus_premres.xlsm]PremRes Replication</v>
      </c>
    </row>
    <row r="2" spans="1:78">
      <c r="A2" s="14" t="s">
        <v>256</v>
      </c>
    </row>
    <row r="3" spans="1:78">
      <c r="A3" s="14" t="s">
        <v>258</v>
      </c>
    </row>
    <row r="4" spans="1:78">
      <c r="S4" s="14"/>
    </row>
    <row r="5" spans="1:78">
      <c r="S5" s="14"/>
    </row>
    <row r="6" spans="1:78">
      <c r="B6" s="75" t="s">
        <v>189</v>
      </c>
      <c r="C6" s="71" cm="1">
        <f t="array" ref="C6:C8">TRANSPOSE(Summary!$F$8:$H$8)</f>
        <v>1</v>
      </c>
    </row>
    <row r="7" spans="1:78">
      <c r="B7" s="75" t="s">
        <v>205</v>
      </c>
      <c r="C7" s="71" t="str">
        <v>*</v>
      </c>
    </row>
    <row r="8" spans="1:78">
      <c r="B8" s="75" t="s">
        <v>221</v>
      </c>
      <c r="C8" s="71" t="str">
        <v>calculated net charge</v>
      </c>
    </row>
    <row r="10" spans="1:78">
      <c r="S10" s="26"/>
      <c r="T10" s="74"/>
    </row>
    <row r="11" spans="1:78">
      <c r="K11" s="11"/>
      <c r="Q11" s="11"/>
      <c r="S11" s="14"/>
    </row>
    <row r="12" spans="1:78">
      <c r="D12" s="25"/>
      <c r="K12" s="11"/>
      <c r="S12" s="14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L12" s="11"/>
      <c r="AM12" s="11"/>
      <c r="AN12" s="11"/>
      <c r="AO12" s="11"/>
      <c r="AP12" s="11"/>
      <c r="AQ12" s="11"/>
      <c r="AR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S12" s="23"/>
    </row>
    <row r="13" spans="1:78">
      <c r="A13" s="130" t="s">
        <v>484</v>
      </c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2"/>
      <c r="S13" s="130" t="s">
        <v>485</v>
      </c>
      <c r="T13" s="131"/>
      <c r="U13" s="132"/>
      <c r="W13" s="133" t="s">
        <v>486</v>
      </c>
      <c r="X13" s="134"/>
      <c r="Y13" s="134"/>
      <c r="Z13" s="134"/>
      <c r="AA13" s="134"/>
      <c r="AB13" s="134"/>
      <c r="AC13" s="134"/>
      <c r="AD13" s="134"/>
      <c r="AE13" s="134"/>
      <c r="AF13" s="134"/>
      <c r="AG13" s="134"/>
      <c r="AH13" s="134"/>
      <c r="AI13" s="134"/>
      <c r="AJ13" s="135"/>
      <c r="AL13" s="130" t="s">
        <v>489</v>
      </c>
      <c r="AM13" s="131"/>
      <c r="AN13" s="131"/>
      <c r="AO13" s="131"/>
      <c r="AP13" s="131"/>
      <c r="AQ13" s="131"/>
      <c r="AR13" s="132"/>
      <c r="AS13" s="130" t="s">
        <v>490</v>
      </c>
      <c r="AT13" s="131"/>
      <c r="AU13" s="131"/>
      <c r="AV13" s="131"/>
      <c r="AW13" s="131"/>
      <c r="AX13" s="131"/>
      <c r="AY13" s="132"/>
      <c r="BA13" s="133" t="s">
        <v>491</v>
      </c>
      <c r="BB13" s="134"/>
      <c r="BC13" s="134"/>
      <c r="BD13" s="134"/>
      <c r="BE13" s="134"/>
      <c r="BF13" s="134"/>
      <c r="BG13" s="134"/>
      <c r="BH13" s="135"/>
      <c r="BI13" s="11"/>
      <c r="BJ13" s="133" t="s">
        <v>492</v>
      </c>
      <c r="BK13" s="135"/>
      <c r="BM13" s="136" t="s">
        <v>493</v>
      </c>
      <c r="BN13" s="137"/>
      <c r="BO13" s="138"/>
      <c r="BQ13" s="139" t="s">
        <v>494</v>
      </c>
      <c r="BR13" s="140"/>
      <c r="BS13" s="140"/>
      <c r="BT13" s="140"/>
      <c r="BU13" s="140"/>
      <c r="BV13" s="140"/>
      <c r="BW13" s="141"/>
      <c r="BY13" s="130" t="s">
        <v>495</v>
      </c>
      <c r="BZ13" s="132"/>
    </row>
    <row r="14" spans="1:78"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S14" s="23"/>
    </row>
    <row r="15" spans="1:78"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L15" s="76">
        <v>1</v>
      </c>
      <c r="AM15" s="76">
        <v>2</v>
      </c>
      <c r="AN15" s="76">
        <v>3</v>
      </c>
      <c r="AO15" s="76">
        <v>4</v>
      </c>
      <c r="AP15" s="76">
        <v>5</v>
      </c>
      <c r="AQ15" s="76">
        <v>6</v>
      </c>
      <c r="AR15" s="76">
        <v>7</v>
      </c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S15" s="23"/>
    </row>
    <row r="16" spans="1:78">
      <c r="D16" s="130" t="s">
        <v>488</v>
      </c>
      <c r="E16" s="131"/>
      <c r="F16" s="131"/>
      <c r="G16" s="131"/>
      <c r="H16" s="131"/>
      <c r="I16" s="131"/>
      <c r="J16" s="132"/>
      <c r="K16" s="130" t="s">
        <v>487</v>
      </c>
      <c r="L16" s="131"/>
      <c r="M16" s="131"/>
      <c r="N16" s="131"/>
      <c r="O16" s="131"/>
      <c r="P16" s="131"/>
      <c r="Q16" s="132"/>
      <c r="W16" s="52">
        <f t="shared" ref="W16:AJ16" si="0">SUM(W19:W133)</f>
        <v>92048412</v>
      </c>
      <c r="X16" s="52">
        <f t="shared" si="0"/>
        <v>82970968.920000032</v>
      </c>
      <c r="Y16" s="52">
        <f t="shared" si="0"/>
        <v>95700</v>
      </c>
      <c r="Z16" s="52">
        <f t="shared" si="0"/>
        <v>61187</v>
      </c>
      <c r="AA16" s="52">
        <f t="shared" si="0"/>
        <v>46216</v>
      </c>
      <c r="AB16" s="52">
        <f t="shared" si="0"/>
        <v>37668066.689999998</v>
      </c>
      <c r="AC16" s="52">
        <f t="shared" si="0"/>
        <v>0</v>
      </c>
      <c r="AD16" s="52">
        <f t="shared" si="0"/>
        <v>80896902.149999991</v>
      </c>
      <c r="AE16" s="52">
        <f t="shared" si="0"/>
        <v>87403873.180500031</v>
      </c>
      <c r="AF16" s="52">
        <f t="shared" si="0"/>
        <v>82480</v>
      </c>
      <c r="AG16" s="52">
        <f t="shared" si="0"/>
        <v>0</v>
      </c>
      <c r="AH16" s="52">
        <f t="shared" si="0"/>
        <v>0</v>
      </c>
      <c r="AI16" s="52">
        <f t="shared" si="0"/>
        <v>31189739.104000002</v>
      </c>
      <c r="AJ16" s="52">
        <f t="shared" si="0"/>
        <v>0</v>
      </c>
      <c r="AL16" s="52">
        <f t="shared" ref="AL16:AY16" si="1">SUM(_xlfn.ANCHORARRAY(AL19))</f>
        <v>76925360.439999998</v>
      </c>
      <c r="AM16" s="52">
        <f t="shared" si="1"/>
        <v>68632099.09480001</v>
      </c>
      <c r="AN16" s="52">
        <f t="shared" si="1"/>
        <v>83713</v>
      </c>
      <c r="AO16" s="52">
        <f t="shared" si="1"/>
        <v>58732.7</v>
      </c>
      <c r="AP16" s="52">
        <f t="shared" si="1"/>
        <v>46177.75</v>
      </c>
      <c r="AQ16" s="52">
        <f t="shared" si="1"/>
        <v>31799918.474400006</v>
      </c>
      <c r="AR16" s="52">
        <f t="shared" si="1"/>
        <v>0</v>
      </c>
      <c r="AS16" s="52">
        <f t="shared" si="1"/>
        <v>76925360.439999998</v>
      </c>
      <c r="AT16" s="52">
        <f t="shared" si="1"/>
        <v>68632099.09480001</v>
      </c>
      <c r="AU16" s="52">
        <f t="shared" si="1"/>
        <v>83713</v>
      </c>
      <c r="AV16" s="52">
        <f t="shared" si="1"/>
        <v>58732.7</v>
      </c>
      <c r="AW16" s="52">
        <f t="shared" si="1"/>
        <v>46177.75</v>
      </c>
      <c r="AX16" s="52">
        <f t="shared" si="1"/>
        <v>31799918.474400006</v>
      </c>
      <c r="AY16" s="52">
        <f t="shared" si="1"/>
        <v>0</v>
      </c>
      <c r="BA16" s="52">
        <f t="shared" ref="BA16:BH16" si="2">SUM(_xlfn.ANCHORARRAY(BA19))</f>
        <v>104706560.79000001</v>
      </c>
      <c r="BB16" s="52">
        <f t="shared" si="2"/>
        <v>37668066.689999998</v>
      </c>
      <c r="BC16" s="52">
        <f t="shared" si="2"/>
        <v>89782539.860000014</v>
      </c>
      <c r="BD16" s="52">
        <f t="shared" si="2"/>
        <v>31189739.104000002</v>
      </c>
      <c r="BE16" s="52">
        <f t="shared" si="2"/>
        <v>89035037.404000014</v>
      </c>
      <c r="BF16" s="52">
        <f t="shared" si="2"/>
        <v>31799918.474400006</v>
      </c>
      <c r="BG16" s="52">
        <f t="shared" si="2"/>
        <v>89035037.404000014</v>
      </c>
      <c r="BH16" s="52">
        <f t="shared" si="2"/>
        <v>31799918.474400006</v>
      </c>
      <c r="BI16" s="11"/>
      <c r="BJ16" s="52">
        <f>SUM(_xlfn.ANCHORARRAY(BJ19))</f>
        <v>89035037.404000014</v>
      </c>
      <c r="BK16" s="52">
        <f>SUM(_xlfn.ANCHORARRAY(BK19))</f>
        <v>31799918.474400006</v>
      </c>
      <c r="BS16" s="52">
        <f>SUM(_xlfn.ANCHORARRAY(BS19))</f>
        <v>13800134.515298102</v>
      </c>
      <c r="BT16" s="52">
        <f>SUM(_xlfn.ANCHORARRAY(BT19))</f>
        <v>120834955.87839994</v>
      </c>
      <c r="BU16" s="11"/>
      <c r="BV16" s="52">
        <f>SUM(_xlfn.ANCHORARRAY(BV19))</f>
        <v>120834955.87839994</v>
      </c>
      <c r="BW16" s="52">
        <f>SUM(_xlfn.ANCHORARRAY(BW19))</f>
        <v>13800134.515298102</v>
      </c>
    </row>
    <row r="17" spans="1:78">
      <c r="BJ17" s="23"/>
    </row>
    <row r="18" spans="1:78">
      <c r="A18" s="54" t="s">
        <v>191</v>
      </c>
      <c r="B18" s="53" t="s">
        <v>190</v>
      </c>
      <c r="C18" s="53" t="s">
        <v>206</v>
      </c>
      <c r="D18" s="53" t="s">
        <v>223</v>
      </c>
      <c r="E18" s="53" t="s">
        <v>224</v>
      </c>
      <c r="F18" s="53" t="s">
        <v>225</v>
      </c>
      <c r="G18" s="53" t="s">
        <v>226</v>
      </c>
      <c r="H18" s="53" t="s">
        <v>227</v>
      </c>
      <c r="I18" s="53" t="s">
        <v>228</v>
      </c>
      <c r="J18" s="53" t="s">
        <v>229</v>
      </c>
      <c r="K18" s="53" t="s">
        <v>215</v>
      </c>
      <c r="L18" s="53" t="s">
        <v>216</v>
      </c>
      <c r="M18" s="53" t="s">
        <v>217</v>
      </c>
      <c r="N18" s="53" t="s">
        <v>218</v>
      </c>
      <c r="O18" s="53" t="s">
        <v>219</v>
      </c>
      <c r="P18" s="53" t="s">
        <v>222</v>
      </c>
      <c r="Q18" s="53" t="s">
        <v>220</v>
      </c>
      <c r="S18" s="54" t="s">
        <v>190</v>
      </c>
      <c r="T18" s="54" t="s">
        <v>1</v>
      </c>
      <c r="U18" s="54" t="s">
        <v>191</v>
      </c>
      <c r="W18" s="53" t="s">
        <v>3</v>
      </c>
      <c r="X18" s="53" t="s">
        <v>4</v>
      </c>
      <c r="Y18" s="53" t="s">
        <v>5</v>
      </c>
      <c r="Z18" s="53" t="s">
        <v>6</v>
      </c>
      <c r="AA18" s="53" t="s">
        <v>7</v>
      </c>
      <c r="AB18" s="53" t="s">
        <v>8</v>
      </c>
      <c r="AC18" s="53" t="s">
        <v>9</v>
      </c>
      <c r="AD18" s="53" t="s">
        <v>10</v>
      </c>
      <c r="AE18" s="53" t="s">
        <v>11</v>
      </c>
      <c r="AF18" s="53" t="s">
        <v>12</v>
      </c>
      <c r="AG18" s="53" t="s">
        <v>13</v>
      </c>
      <c r="AH18" s="53" t="s">
        <v>14</v>
      </c>
      <c r="AI18" s="53" t="s">
        <v>15</v>
      </c>
      <c r="AJ18" s="53" t="s">
        <v>16</v>
      </c>
      <c r="AL18" s="53" t="s">
        <v>223</v>
      </c>
      <c r="AM18" s="53" t="s">
        <v>224</v>
      </c>
      <c r="AN18" s="53" t="s">
        <v>225</v>
      </c>
      <c r="AO18" s="53" t="s">
        <v>226</v>
      </c>
      <c r="AP18" s="53" t="s">
        <v>227</v>
      </c>
      <c r="AQ18" s="53" t="s">
        <v>228</v>
      </c>
      <c r="AR18" s="53" t="s">
        <v>229</v>
      </c>
      <c r="AS18" s="53" t="s">
        <v>215</v>
      </c>
      <c r="AT18" s="53" t="s">
        <v>216</v>
      </c>
      <c r="AU18" s="53" t="s">
        <v>217</v>
      </c>
      <c r="AV18" s="53" t="s">
        <v>218</v>
      </c>
      <c r="AW18" s="53" t="s">
        <v>219</v>
      </c>
      <c r="AX18" s="53" t="s">
        <v>222</v>
      </c>
      <c r="AY18" s="53" t="s">
        <v>220</v>
      </c>
      <c r="BA18" s="77" t="s">
        <v>192</v>
      </c>
      <c r="BB18" s="77" t="s">
        <v>8</v>
      </c>
      <c r="BC18" s="77" t="s">
        <v>212</v>
      </c>
      <c r="BD18" s="77" t="s">
        <v>15</v>
      </c>
      <c r="BE18" s="77" t="s">
        <v>213</v>
      </c>
      <c r="BF18" s="77" t="s">
        <v>214</v>
      </c>
      <c r="BG18" s="77" t="s">
        <v>230</v>
      </c>
      <c r="BH18" s="77" t="s">
        <v>222</v>
      </c>
      <c r="BI18" s="78"/>
      <c r="BJ18" s="77" t="s">
        <v>231</v>
      </c>
      <c r="BK18" s="77" t="s">
        <v>232</v>
      </c>
      <c r="BM18" s="45" t="s">
        <v>2</v>
      </c>
      <c r="BN18" s="45" t="s">
        <v>70</v>
      </c>
      <c r="BO18" s="45" t="s">
        <v>71</v>
      </c>
      <c r="BQ18" s="73" t="s">
        <v>70</v>
      </c>
      <c r="BR18" s="73" t="s">
        <v>71</v>
      </c>
      <c r="BS18" s="54" t="s">
        <v>193</v>
      </c>
      <c r="BT18" s="54" t="s">
        <v>194</v>
      </c>
      <c r="BU18" s="54" t="s">
        <v>195</v>
      </c>
      <c r="BV18" s="54" t="s">
        <v>196</v>
      </c>
      <c r="BW18" s="54" t="s">
        <v>197</v>
      </c>
    </row>
    <row r="19" spans="1:78">
      <c r="A19" t="str" cm="1">
        <f t="array" ref="A19:A58">_xlfn.BYROW(
    tPremRes[[lob_type]:[lob]],
    _xlfn.LAMBDA(_xlpm.r,
        _xlfn.LET(
            _xlpm.lob_type, INDEX(_xlpm.r,1),
            _xlpm.lob,      INDEX(_xlpm.r,2),
            _xlfn.IFS(
                OR(_xlpm.lob_type="D", _xlpm.lob_type="P", _xlpm.lob_type="FP"), _xlpm.lob,
                OR(_xlpm.lob_type="NP", _xlpm.lob_type="FNP"), "18b",
                OR(_xlpm.lob_type="O", _xlpm.lob_type="FO"), "18c",
                TRUE, "zzz"
            )
        )
    )
)</f>
        <v>1a</v>
      </c>
      <c r="B19" t="str" cm="1">
        <f t="array" ref="B19:B58">tPremRes[lob_type]&amp;"_"&amp;IFERROR(VLOOKUP(_xlfn.ANCHORARRAY(A19),'Correlation Matrix'!$AP$8:$AQ$41,2,FALSE),_xlfn.ANCHORARRAY(A19))</f>
        <v>D_1a</v>
      </c>
      <c r="C19" t="str" cm="1">
        <f t="array" ref="C19:C58">INDEX(tPremRes[[level_1]:[level_2]],0,$C$6)</f>
        <v>direct</v>
      </c>
      <c r="D19" s="10" cm="1">
        <f t="array" ref="D19:J58">tPremRes[[gross_p]:[gross_other]]*(1-SUMIFS(prem_res!$AA$6:$AA$17,prem_res!$Y$6:$Y$17,tPremRes[reinsurance_id]))</f>
        <v>1984598.55</v>
      </c>
      <c r="E19" s="10">
        <v>1964752.5645000003</v>
      </c>
      <c r="F19" s="10">
        <v>1155</v>
      </c>
      <c r="G19" s="10">
        <v>2999.7000000000003</v>
      </c>
      <c r="H19" s="10">
        <v>0</v>
      </c>
      <c r="I19" s="10">
        <v>893069.34750000003</v>
      </c>
      <c r="J19" s="10">
        <v>0</v>
      </c>
      <c r="K19" s="10" cm="1">
        <f t="array" ref="K19:Q58">tPremRes[[gross_p]:[gross_other]]*(1-SUMIFS(prem_res!$AA$6:$AA$17,prem_res!$Y$6:$Y$17,tPremRes[reinsurance_id],prem_res!$Z$6:$Z$17,"&lt;&gt;"&amp;$C$8))</f>
        <v>1984598.55</v>
      </c>
      <c r="L19" s="10">
        <v>1964752.5645000003</v>
      </c>
      <c r="M19" s="10">
        <v>1155</v>
      </c>
      <c r="N19" s="10">
        <v>2999.7000000000003</v>
      </c>
      <c r="O19" s="10">
        <v>0</v>
      </c>
      <c r="P19" s="10">
        <v>893069.34750000003</v>
      </c>
      <c r="Q19" s="10">
        <v>0</v>
      </c>
      <c r="S19" t="str" cm="1">
        <f t="array" ref="S19:S51">_xlfn.UNIQUE(_xlfn._xlws.FILTER(_xlfn.ANCHORARRAY(B19),_xlfn.ANCHORARRAY(B19)&gt;"_zzz"))</f>
        <v>D_1a</v>
      </c>
      <c r="T19" t="str" cm="1">
        <f t="array" ref="T19:T51">_xlfn.TEXTSPLIT(_xlfn.ANCHORARRAY(S19),"_")</f>
        <v>D</v>
      </c>
      <c r="U19" t="str" cm="1">
        <f t="array" ref="U19:U51">SUBSTITUTE(_xlfn.ANCHORARRAY(S19),_xlfn.ANCHORARRAY(T19)&amp;"_","")</f>
        <v>1a</v>
      </c>
      <c r="W19" s="10" cm="1">
        <f t="array" ref="W19:W51">SUMIFS(tPremRes[gross_p],_xlfn.ANCHORARRAY($B19),_xlfn.ANCHORARRAY($S19),_xlfn.ANCHORARRAY($C19),$C$7)</f>
        <v>3608361</v>
      </c>
      <c r="X19" s="10" cm="1">
        <f t="array" ref="X19:X51">SUMIFS(tPremRes[gross_p_last],_xlfn.ANCHORARRAY($B19),_xlfn.ANCHORARRAY($S19),_xlfn.ANCHORARRAY($C19),$C$7)</f>
        <v>3572277.39</v>
      </c>
      <c r="Y19" s="10" cm="1">
        <f t="array" ref="Y19:Y51">SUMIFS(tPremRes[gross_p_last_24],_xlfn.ANCHORARRAY($B19),_xlfn.ANCHORARRAY($S19),_xlfn.ANCHORARRAY($C19),$C$7)</f>
        <v>2100</v>
      </c>
      <c r="Z19" s="10" cm="1">
        <f t="array" ref="Z19:Z51">SUMIFS(tPremRes[gross_fp_existing],_xlfn.ANCHORARRAY($B19),_xlfn.ANCHORARRAY($S19),_xlfn.ANCHORARRAY($C19),$C$7)</f>
        <v>5454</v>
      </c>
      <c r="AA19" s="10" cm="1">
        <f t="array" ref="AA19:AA51">SUMIFS(tPremRes[gross_fp_future],_xlfn.ANCHORARRAY($B19),_xlfn.ANCHORARRAY($S19),_xlfn.ANCHORARRAY($C19),$C$7)</f>
        <v>0</v>
      </c>
      <c r="AB19" s="10" cm="1">
        <f t="array" ref="AB19:AB51">SUMIFS(tPremRes[gross_claim],_xlfn.ANCHORARRAY($B19),_xlfn.ANCHORARRAY($S19),_xlfn.ANCHORARRAY($C19),$C$7)</f>
        <v>1623762.45</v>
      </c>
      <c r="AC19" s="10" cm="1">
        <f t="array" ref="AC19:AC51">SUMIFS(tPremRes[gross_other],_xlfn.ANCHORARRAY($B19),_xlfn.ANCHORARRAY($S19),_xlfn.ANCHORARRAY($C19),$C$7)</f>
        <v>0</v>
      </c>
      <c r="AD19" s="10" cm="1">
        <f t="array" ref="AD19:AD51">SUMIFS(tPremRes[net_p],_xlfn.ANCHORARRAY($B19),_xlfn.ANCHORARRAY($S19),_xlfn.ANCHORARRAY($C19),$C$7)</f>
        <v>1804180.5</v>
      </c>
      <c r="AE19" s="10" cm="1">
        <f t="array" ref="AE19:AE51">SUMIFS(tPremRes[net_p_last],_xlfn.ANCHORARRAY($B19),_xlfn.ANCHORARRAY($S19),_xlfn.ANCHORARRAY($C19),$C$7)</f>
        <v>1786138.6950000001</v>
      </c>
      <c r="AF19" s="10" cm="1">
        <f t="array" ref="AF19:AF51">SUMIFS(tPremRes[net_p_last_24],_xlfn.ANCHORARRAY($B19),_xlfn.ANCHORARRAY($S19),_xlfn.ANCHORARRAY($C19),$C$7)</f>
        <v>1050</v>
      </c>
      <c r="AG19" s="10" cm="1">
        <f t="array" ref="AG19:AG51">SUMIFS(tPremRes[net_fp_existing],_xlfn.ANCHORARRAY($B19),_xlfn.ANCHORARRAY($S19),_xlfn.ANCHORARRAY($C19),$C$7)</f>
        <v>0</v>
      </c>
      <c r="AH19" s="10" cm="1">
        <f t="array" ref="AH19:AH51">SUMIFS(tPremRes[net_fp_future],_xlfn.ANCHORARRAY($B19),_xlfn.ANCHORARRAY($S19),_xlfn.ANCHORARRAY($C19),$C$7)</f>
        <v>0</v>
      </c>
      <c r="AI19" s="10" cm="1">
        <f t="array" ref="AI19:AI51">SUMIFS(tPremRes[net_claim],_xlfn.ANCHORARRAY($B19),_xlfn.ANCHORARRAY($S19),_xlfn.ANCHORARRAY($C19),$C$7)</f>
        <v>811881.22499999998</v>
      </c>
      <c r="AJ19" s="10" cm="1">
        <f t="array" ref="AJ19:AJ51">SUMIFS(tPremRes[net_other],_xlfn.ANCHORARRAY($B19),_xlfn.ANCHORARRAY($S19),_xlfn.ANCHORARRAY($C19),$C$7)</f>
        <v>0</v>
      </c>
      <c r="AL19" s="10" cm="1">
        <f t="array" ref="AL19:AL51">SUMIFS(INDEX(_xlfn.ANCHORARRAY($D19),0,AL$15),_xlfn.ANCHORARRAY($B19),_xlfn.ANCHORARRAY($S19),_xlfn.ANCHORARRAY($C19),$C$7)</f>
        <v>1984598.55</v>
      </c>
      <c r="AM19" s="10" cm="1">
        <f t="array" ref="AM19:AM51">SUMIFS(INDEX(_xlfn.ANCHORARRAY($D19),0,AM$15),_xlfn.ANCHORARRAY($B19),_xlfn.ANCHORARRAY($S19),_xlfn.ANCHORARRAY($C19),$C$7)</f>
        <v>1964752.5645000003</v>
      </c>
      <c r="AN19" s="10" cm="1">
        <f t="array" ref="AN19:AN51">SUMIFS(INDEX(_xlfn.ANCHORARRAY($D19),0,AN$15),_xlfn.ANCHORARRAY($B19),_xlfn.ANCHORARRAY($S19),_xlfn.ANCHORARRAY($C19),$C$7)</f>
        <v>1155</v>
      </c>
      <c r="AO19" s="10" cm="1">
        <f t="array" ref="AO19:AO51">SUMIFS(INDEX(_xlfn.ANCHORARRAY($D19),0,AO$15),_xlfn.ANCHORARRAY($B19),_xlfn.ANCHORARRAY($S19),_xlfn.ANCHORARRAY($C19),$C$7)</f>
        <v>2999.7000000000003</v>
      </c>
      <c r="AP19" s="10" cm="1">
        <f t="array" ref="AP19:AP51">SUMIFS(INDEX(_xlfn.ANCHORARRAY($D19),0,AP$15),_xlfn.ANCHORARRAY($B19),_xlfn.ANCHORARRAY($S19),_xlfn.ANCHORARRAY($C19),$C$7)</f>
        <v>0</v>
      </c>
      <c r="AQ19" s="10" cm="1">
        <f t="array" ref="AQ19:AQ51">SUMIFS(INDEX(_xlfn.ANCHORARRAY($D19),0,AQ$15),_xlfn.ANCHORARRAY($B19),_xlfn.ANCHORARRAY($S19),_xlfn.ANCHORARRAY($C19),$C$7)</f>
        <v>893069.34750000003</v>
      </c>
      <c r="AR19" s="10" cm="1">
        <f t="array" ref="AR19:AR51">SUMIFS(INDEX(_xlfn.ANCHORARRAY($D19),0,AR$15),_xlfn.ANCHORARRAY($B19),_xlfn.ANCHORARRAY($S19),_xlfn.ANCHORARRAY($C19),$C$7)</f>
        <v>0</v>
      </c>
      <c r="AS19" s="10" cm="1">
        <f t="array" ref="AS19:AS51">SUMIFS(INDEX(_xlfn.ANCHORARRAY($K19),0,AL$15),_xlfn.ANCHORARRAY($B19),_xlfn.ANCHORARRAY($S19),_xlfn.ANCHORARRAY($C19),$C$7)</f>
        <v>1984598.55</v>
      </c>
      <c r="AT19" s="10" cm="1">
        <f t="array" ref="AT19:AT51">SUMIFS(INDEX(_xlfn.ANCHORARRAY($K19),0,AM$15),_xlfn.ANCHORARRAY($B19),_xlfn.ANCHORARRAY($S19),_xlfn.ANCHORARRAY($C19),$C$7)</f>
        <v>1964752.5645000003</v>
      </c>
      <c r="AU19" s="10" cm="1">
        <f t="array" ref="AU19:AU51">SUMIFS(INDEX(_xlfn.ANCHORARRAY($K19),0,AN$15),_xlfn.ANCHORARRAY($B19),_xlfn.ANCHORARRAY($S19),_xlfn.ANCHORARRAY($C19),$C$7)</f>
        <v>1155</v>
      </c>
      <c r="AV19" s="10" cm="1">
        <f t="array" ref="AV19:AV51">SUMIFS(INDEX(_xlfn.ANCHORARRAY($K19),0,AO$15),_xlfn.ANCHORARRAY($B19),_xlfn.ANCHORARRAY($S19),_xlfn.ANCHORARRAY($C19),$C$7)</f>
        <v>2999.7000000000003</v>
      </c>
      <c r="AW19" s="10" cm="1">
        <f t="array" ref="AW19:AW51">SUMIFS(INDEX(_xlfn.ANCHORARRAY($K19),0,AP$15),_xlfn.ANCHORARRAY($B19),_xlfn.ANCHORARRAY($S19),_xlfn.ANCHORARRAY($C19),$C$7)</f>
        <v>0</v>
      </c>
      <c r="AX19" s="10" cm="1">
        <f t="array" ref="AX19:AX51">SUMIFS(INDEX(_xlfn.ANCHORARRAY($K19),0,AQ$15),_xlfn.ANCHORARRAY($B19),_xlfn.ANCHORARRAY($S19),_xlfn.ANCHORARRAY($C19),$C$7)</f>
        <v>893069.34750000003</v>
      </c>
      <c r="AY19" s="10" cm="1">
        <f t="array" ref="AY19:AY51">SUMIFS(INDEX(_xlfn.ANCHORARRAY($K19),0,AR$15),_xlfn.ANCHORARRAY($B19),_xlfn.ANCHORARRAY($S19),_xlfn.ANCHORARRAY($C19),$C$7)</f>
        <v>0</v>
      </c>
      <c r="BA19" s="11" cm="1">
        <f t="array" ref="BA19:BA51">_xlfn.LET(_xlpm.prem,_xlfn.BYROW(_xlfn.HSTACK(_xlfn.ANCHORARRAY(W19),_xlfn.ANCHORARRAY( X19)), _xlfn.LAMBDA(_xlpm.row, MAX(_xlpm.row))) +_xlfn.ANCHORARRAY( Z19)+_xlfn.ANCHORARRAY(AA19),IF(_xlpm.prem&gt;0,_xlpm.prem,0))</f>
        <v>3613815</v>
      </c>
      <c r="BB19" s="11" cm="1">
        <f t="array" ref="BB19:BB51">IF(_xlfn.ANCHORARRAY(AB19)&lt;0,0,_xlfn.ANCHORARRAY(AB19))</f>
        <v>1623762.45</v>
      </c>
      <c r="BC19" s="11" cm="1">
        <f t="array" ref="BC19:BC51">_xlfn.LET(_xlpm.prem,_xlfn.BYROW(_xlfn.HSTACK(_xlfn.ANCHORARRAY(AD19),_xlfn.ANCHORARRAY(AE19)),_xlfn.LAMBDA(_xlpm.row,MAX(_xlpm.row)))+_xlfn.ANCHORARRAY(AG19)+_xlfn.ANCHORARRAY(AH19),
IF(_xlpm.prem&gt;0,_xlpm.prem,0))</f>
        <v>1804180.5</v>
      </c>
      <c r="BD19" s="11" cm="1">
        <f t="array" ref="BD19:BD51">IF(_xlfn.ANCHORARRAY(AI19)&lt;0,0,_xlfn.ANCHORARRAY(AI19))</f>
        <v>811881.22499999998</v>
      </c>
      <c r="BE19" s="11" cm="1">
        <f t="array" ref="BE19:BE51">_xlfn.LET(_xlpm.prem,_xlfn.BYROW(_xlfn.HSTACK(_xlfn.ANCHORARRAY(AL19),_xlfn.ANCHORARRAY( AM19)), _xlfn.LAMBDA(_xlpm.row, MAX(_xlpm.row))) +_xlfn.ANCHORARRAY(AO19)+_xlfn.ANCHORARRAY(AP19),IF(_xlpm.prem&gt;0,_xlpm.prem,0))</f>
        <v>1987598.25</v>
      </c>
      <c r="BF19" s="11" cm="1">
        <f t="array" ref="BF19:BF51">IF(_xlfn.ANCHORARRAY(AQ19)&lt;0,0,_xlfn.ANCHORARRAY(AQ19))</f>
        <v>893069.34750000003</v>
      </c>
      <c r="BG19" s="11" cm="1">
        <f t="array" ref="BG19:BG51">_xlfn.LET(_xlpm.prem,_xlfn.BYROW(_xlfn.HSTACK(_xlfn.ANCHORARRAY(AS19),_xlfn.ANCHORARRAY( AT19)), _xlfn.LAMBDA(_xlpm.row, MAX(_xlpm.row))) ++_xlfn.ANCHORARRAY(AV19)+_xlfn.ANCHORARRAY(AW19),
IF(_xlpm.prem&gt;0,_xlpm.prem,0))</f>
        <v>1987598.25</v>
      </c>
      <c r="BH19" s="11" cm="1">
        <f t="array" ref="BH19:BH51">IF(_xlfn.ANCHORARRAY(AX19)&lt;0,0,_xlfn.ANCHORARRAY(AX19))</f>
        <v>893069.34750000003</v>
      </c>
      <c r="BI19" s="11"/>
      <c r="BJ19" s="11" cm="1">
        <f t="array" ref="BJ19:BJ51">_xlfn.IFS($C$8="gross charge",_xlfn.ANCHORARRAY(BA19),$C$8="net charge",_xlfn.ANCHORARRAY(BC19),$C$8="calculated net charge",_xlfn.ANCHORARRAY(BE19),TRUE,_xlfn.ANCHORARRAY(BG19))</f>
        <v>1987598.25</v>
      </c>
      <c r="BK19" s="11" cm="1">
        <f t="array" ref="BK19:BK51">_xlfn.IFS($C$8="gross charge",_xlfn.ANCHORARRAY(BB19),$C$8="net charge",_xlfn.ANCHORARRAY(BD19),$C$8="calculated net charge",_xlfn.ANCHORARRAY(BF19),TRUE,_xlfn.ANCHORARRAY(BH19))</f>
        <v>893069.34750000003</v>
      </c>
      <c r="BM19" t="s">
        <v>21</v>
      </c>
      <c r="BN19" s="9">
        <v>6.3E-2</v>
      </c>
      <c r="BO19" s="9">
        <v>0.06</v>
      </c>
      <c r="BP19" s="9"/>
      <c r="BQ19" s="72" cm="1">
        <f t="array" ref="BQ19:BQ51">VLOOKUP(_xlfn.ANCHORARRAY('Calculated Correlation Matrix'!$A7),$BM$19:$BO$57,2,FALSE)</f>
        <v>6.3E-2</v>
      </c>
      <c r="BR19" s="72" cm="1">
        <f t="array" ref="BR19:BR51">VLOOKUP(_xlfn.ANCHORARRAY('Calculated Correlation Matrix'!$A7),$BM$19:$BO$57,3,FALSE)</f>
        <v>0.06</v>
      </c>
      <c r="BS19" s="10" cm="1">
        <f t="array" ref="BS19:BS51">SQRT((_xlfn.ANCHORARRAY(BQ19)*_xlfn.ANCHORARRAY(BJ19))^2+2*0.5*_xlfn.ANCHORARRAY(BQ19)*_xlfn.ANCHORARRAY(BJ19)*_xlfn.ANCHORARRAY(BR19)*_xlfn.ANCHORARRAY(BK19)+(_xlfn.ANCHORARRAY(BR19)*_xlfn.ANCHORARRAY(BK19))^2)</f>
        <v>158936.21667101452</v>
      </c>
      <c r="BT19" s="11" cm="1">
        <f t="array" ref="BT19:BT51">_xlfn.ANCHORARRAY(BJ19)+_xlfn.ANCHORARRAY(BK19)</f>
        <v>2880667.5975000001</v>
      </c>
      <c r="BU19" s="22" cm="1">
        <f t="array" ref="BU19:BU51">IFERROR(_xlfn.ANCHORARRAY(BS19)/_xlfn.ANCHORARRAY(BT19),0)</f>
        <v>5.5173396892077384E-2</v>
      </c>
      <c r="BV19" s="11" cm="1">
        <f t="array" ref="BV19:BV51">_xlfn.ANCHORARRAY(BJ19)+_xlfn.ANCHORARRAY(BK19)</f>
        <v>2880667.5975000001</v>
      </c>
      <c r="BW19" s="10" cm="1">
        <f t="array" ref="BW19:BW51">_xlfn.ANCHORARRAY(BV19)*_xlfn.ANCHORARRAY(BU19)</f>
        <v>158936.21667101452</v>
      </c>
      <c r="BY19" s="53" t="s">
        <v>198</v>
      </c>
      <c r="BZ19" s="55" cm="1">
        <f t="array" ref="BZ19">SQRT(MMULT(MMULT(TRANSPOSE(_xlfn.ANCHORARRAY(BW19)),_xlfn.ANCHORARRAY('Calculated Correlation Matrix'!$B$7)),_xlfn.ANCHORARRAY(BW19)))/SUM(_xlfn.ANCHORARRAY(BV19))</f>
        <v>6.3782286913498631E-2</v>
      </c>
    </row>
    <row r="20" spans="1:78">
      <c r="A20" t="str">
        <v>1b</v>
      </c>
      <c r="B20" t="str">
        <v>D_1b</v>
      </c>
      <c r="C20" t="str">
        <v>intermediated</v>
      </c>
      <c r="D20" s="10">
        <v>-3290419</v>
      </c>
      <c r="E20" s="10">
        <v>3027185.48</v>
      </c>
      <c r="F20" s="10">
        <v>2100</v>
      </c>
      <c r="G20" s="10">
        <v>0</v>
      </c>
      <c r="H20" s="10">
        <v>0</v>
      </c>
      <c r="I20" s="10">
        <v>921317.32000000007</v>
      </c>
      <c r="J20" s="10">
        <v>0</v>
      </c>
      <c r="K20" s="10">
        <v>-3290419</v>
      </c>
      <c r="L20" s="10">
        <v>3027185.48</v>
      </c>
      <c r="M20" s="10">
        <v>2100</v>
      </c>
      <c r="N20" s="10">
        <v>0</v>
      </c>
      <c r="O20" s="10">
        <v>0</v>
      </c>
      <c r="P20" s="10">
        <v>921317.32000000007</v>
      </c>
      <c r="Q20" s="10">
        <v>0</v>
      </c>
      <c r="S20" t="str">
        <v>D_1b</v>
      </c>
      <c r="T20" t="str">
        <v>D</v>
      </c>
      <c r="U20" t="str">
        <v>1b</v>
      </c>
      <c r="W20" s="10">
        <v>-3290419</v>
      </c>
      <c r="X20" s="10">
        <v>3027185.48</v>
      </c>
      <c r="Y20" s="10">
        <v>2100</v>
      </c>
      <c r="Z20" s="10">
        <v>0</v>
      </c>
      <c r="AA20" s="10">
        <v>0</v>
      </c>
      <c r="AB20" s="10">
        <v>921317.32000000007</v>
      </c>
      <c r="AC20" s="10">
        <v>0</v>
      </c>
      <c r="AD20" s="10">
        <v>-3290419</v>
      </c>
      <c r="AE20" s="10">
        <v>3027185.48</v>
      </c>
      <c r="AF20" s="10">
        <v>2100</v>
      </c>
      <c r="AG20" s="10">
        <v>0</v>
      </c>
      <c r="AH20" s="10">
        <v>0</v>
      </c>
      <c r="AI20" s="10">
        <v>921317.32000000007</v>
      </c>
      <c r="AJ20" s="10">
        <v>0</v>
      </c>
      <c r="AL20" s="10">
        <v>-3290419</v>
      </c>
      <c r="AM20" s="10">
        <v>3027185.48</v>
      </c>
      <c r="AN20" s="10">
        <v>2100</v>
      </c>
      <c r="AO20" s="10">
        <v>0</v>
      </c>
      <c r="AP20" s="10">
        <v>0</v>
      </c>
      <c r="AQ20" s="10">
        <v>921317.32000000007</v>
      </c>
      <c r="AR20" s="10">
        <v>0</v>
      </c>
      <c r="AS20" s="10">
        <v>-3290419</v>
      </c>
      <c r="AT20" s="10">
        <v>3027185.48</v>
      </c>
      <c r="AU20" s="10">
        <v>2100</v>
      </c>
      <c r="AV20" s="10">
        <v>0</v>
      </c>
      <c r="AW20" s="10">
        <v>0</v>
      </c>
      <c r="AX20" s="10">
        <v>921317.32000000007</v>
      </c>
      <c r="AY20" s="10">
        <v>0</v>
      </c>
      <c r="BA20" s="11">
        <v>3027185.48</v>
      </c>
      <c r="BB20" s="11">
        <v>921317.32000000007</v>
      </c>
      <c r="BC20" s="11">
        <v>3027185.48</v>
      </c>
      <c r="BD20" s="11">
        <v>921317.32000000007</v>
      </c>
      <c r="BE20" s="11">
        <v>3027185.48</v>
      </c>
      <c r="BF20" s="11">
        <v>921317.32000000007</v>
      </c>
      <c r="BG20" s="11">
        <v>3027185.48</v>
      </c>
      <c r="BH20" s="11">
        <v>921317.32000000007</v>
      </c>
      <c r="BI20" s="11"/>
      <c r="BJ20" s="11">
        <v>3027185.48</v>
      </c>
      <c r="BK20" s="11">
        <v>921317.32000000007</v>
      </c>
      <c r="BM20" t="s">
        <v>38</v>
      </c>
      <c r="BN20" s="9">
        <v>7.0000000000000007E-2</v>
      </c>
      <c r="BO20" s="9">
        <v>6.5000000000000002E-2</v>
      </c>
      <c r="BP20" s="9"/>
      <c r="BQ20" s="72">
        <v>7.0000000000000007E-2</v>
      </c>
      <c r="BR20" s="72">
        <v>6.5000000000000002E-2</v>
      </c>
      <c r="BS20" s="10">
        <v>247344.10326064503</v>
      </c>
      <c r="BT20" s="11">
        <v>3948502.8</v>
      </c>
      <c r="BU20" s="22">
        <v>6.2642504207074401E-2</v>
      </c>
      <c r="BV20" s="11">
        <v>3948502.8</v>
      </c>
      <c r="BW20" s="10">
        <v>247344.10326064503</v>
      </c>
      <c r="BY20" s="53" t="s">
        <v>199</v>
      </c>
      <c r="BZ20" s="56">
        <f>SUM(_xlfn.ANCHORARRAY(BV19))</f>
        <v>120834955.87839994</v>
      </c>
    </row>
    <row r="21" spans="1:78">
      <c r="A21" t="str">
        <v>2a</v>
      </c>
      <c r="B21" t="str">
        <v>P_2a</v>
      </c>
      <c r="C21" t="str">
        <v>specialised</v>
      </c>
      <c r="D21" s="10">
        <v>1739120.9000000001</v>
      </c>
      <c r="E21" s="10">
        <v>1930424.1990000003</v>
      </c>
      <c r="F21" s="10">
        <v>1100</v>
      </c>
      <c r="G21" s="10">
        <v>0</v>
      </c>
      <c r="H21" s="10">
        <v>46.750000000000007</v>
      </c>
      <c r="I21" s="10">
        <v>695648.3600000001</v>
      </c>
      <c r="J21" s="10">
        <v>0</v>
      </c>
      <c r="K21" s="10">
        <v>1739120.9000000001</v>
      </c>
      <c r="L21" s="10">
        <v>1930424.1990000003</v>
      </c>
      <c r="M21" s="10">
        <v>1100</v>
      </c>
      <c r="N21" s="10">
        <v>0</v>
      </c>
      <c r="O21" s="10">
        <v>46.750000000000007</v>
      </c>
      <c r="P21" s="10">
        <v>695648.3600000001</v>
      </c>
      <c r="Q21" s="10">
        <v>0</v>
      </c>
      <c r="S21" t="str">
        <v>P_2a</v>
      </c>
      <c r="T21" t="str">
        <v>P</v>
      </c>
      <c r="U21" t="str">
        <v>2a</v>
      </c>
      <c r="W21" s="10">
        <v>3162038</v>
      </c>
      <c r="X21" s="10">
        <v>3509862.18</v>
      </c>
      <c r="Y21" s="10">
        <v>2000</v>
      </c>
      <c r="Z21" s="10">
        <v>0</v>
      </c>
      <c r="AA21" s="10">
        <v>85</v>
      </c>
      <c r="AB21" s="10">
        <v>1264815.2000000002</v>
      </c>
      <c r="AC21" s="10">
        <v>0</v>
      </c>
      <c r="AD21" s="10">
        <v>1581019</v>
      </c>
      <c r="AE21" s="10">
        <v>1754931.09</v>
      </c>
      <c r="AF21" s="10">
        <v>1000</v>
      </c>
      <c r="AG21" s="10">
        <v>0</v>
      </c>
      <c r="AH21" s="10">
        <v>0</v>
      </c>
      <c r="AI21" s="10">
        <v>632407.60000000009</v>
      </c>
      <c r="AJ21" s="10">
        <v>0</v>
      </c>
      <c r="AL21" s="10">
        <v>1739120.9000000001</v>
      </c>
      <c r="AM21" s="10">
        <v>1930424.1990000003</v>
      </c>
      <c r="AN21" s="10">
        <v>1100</v>
      </c>
      <c r="AO21" s="10">
        <v>0</v>
      </c>
      <c r="AP21" s="10">
        <v>46.750000000000007</v>
      </c>
      <c r="AQ21" s="10">
        <v>695648.3600000001</v>
      </c>
      <c r="AR21" s="10">
        <v>0</v>
      </c>
      <c r="AS21" s="10">
        <v>1739120.9000000001</v>
      </c>
      <c r="AT21" s="10">
        <v>1930424.1990000003</v>
      </c>
      <c r="AU21" s="10">
        <v>1100</v>
      </c>
      <c r="AV21" s="10">
        <v>0</v>
      </c>
      <c r="AW21" s="10">
        <v>46.750000000000007</v>
      </c>
      <c r="AX21" s="10">
        <v>695648.3600000001</v>
      </c>
      <c r="AY21" s="10">
        <v>0</v>
      </c>
      <c r="BA21" s="11">
        <v>3509947.18</v>
      </c>
      <c r="BB21" s="11">
        <v>1264815.2000000002</v>
      </c>
      <c r="BC21" s="11">
        <v>1754931.09</v>
      </c>
      <c r="BD21" s="11">
        <v>632407.60000000009</v>
      </c>
      <c r="BE21" s="11">
        <v>1930470.9490000003</v>
      </c>
      <c r="BF21" s="11">
        <v>695648.3600000001</v>
      </c>
      <c r="BG21" s="11">
        <v>1930470.9490000003</v>
      </c>
      <c r="BH21" s="11">
        <v>695648.3600000001</v>
      </c>
      <c r="BI21" s="11"/>
      <c r="BJ21" s="11">
        <v>1930470.9490000003</v>
      </c>
      <c r="BK21" s="11">
        <v>695648.3600000001</v>
      </c>
      <c r="BM21" t="s">
        <v>39</v>
      </c>
      <c r="BN21" s="9">
        <v>5.8999999999999997E-2</v>
      </c>
      <c r="BO21" s="9">
        <v>0.11700000000000001</v>
      </c>
      <c r="BP21" s="9"/>
      <c r="BQ21" s="72">
        <v>5.8999999999999997E-2</v>
      </c>
      <c r="BR21" s="72">
        <v>0.11700000000000001</v>
      </c>
      <c r="BS21" s="10">
        <v>169904.13761570735</v>
      </c>
      <c r="BT21" s="11">
        <v>2626119.3090000004</v>
      </c>
      <c r="BU21" s="22">
        <v>6.4697798395307912E-2</v>
      </c>
      <c r="BV21" s="11">
        <v>2626119.3090000004</v>
      </c>
      <c r="BW21" s="10">
        <v>169904.13761570735</v>
      </c>
      <c r="BY21" s="53" t="s">
        <v>200</v>
      </c>
      <c r="BZ21" s="56">
        <f>3*BZ19*BZ20</f>
        <v>23121389.475048158</v>
      </c>
    </row>
    <row r="22" spans="1:78">
      <c r="A22" t="str">
        <v>2b</v>
      </c>
      <c r="B22" t="str">
        <v>D_2b</v>
      </c>
      <c r="C22" t="str">
        <v>direct</v>
      </c>
      <c r="D22" s="10">
        <v>3579255.5</v>
      </c>
      <c r="E22" s="10">
        <v>3436085.28</v>
      </c>
      <c r="F22" s="10">
        <v>2494</v>
      </c>
      <c r="G22" s="10">
        <v>0</v>
      </c>
      <c r="H22" s="10">
        <v>0</v>
      </c>
      <c r="I22" s="10">
        <v>1395909.645</v>
      </c>
      <c r="J22" s="10">
        <v>0</v>
      </c>
      <c r="K22" s="10">
        <v>3579255.5</v>
      </c>
      <c r="L22" s="10">
        <v>3436085.28</v>
      </c>
      <c r="M22" s="10">
        <v>2494</v>
      </c>
      <c r="N22" s="10">
        <v>0</v>
      </c>
      <c r="O22" s="10">
        <v>0</v>
      </c>
      <c r="P22" s="10">
        <v>1395909.645</v>
      </c>
      <c r="Q22" s="10">
        <v>0</v>
      </c>
      <c r="S22" t="str">
        <v>D_2b</v>
      </c>
      <c r="T22" t="str">
        <v>D</v>
      </c>
      <c r="U22" t="str">
        <v>2b</v>
      </c>
      <c r="W22" s="10">
        <v>4161925</v>
      </c>
      <c r="X22" s="10">
        <v>3995448</v>
      </c>
      <c r="Y22" s="10">
        <v>2900</v>
      </c>
      <c r="Z22" s="10">
        <v>0</v>
      </c>
      <c r="AA22" s="10">
        <v>0</v>
      </c>
      <c r="AB22" s="10">
        <v>1623150.75</v>
      </c>
      <c r="AC22" s="10">
        <v>0</v>
      </c>
      <c r="AD22" s="10">
        <v>3537636.25</v>
      </c>
      <c r="AE22" s="10">
        <v>3396130.8</v>
      </c>
      <c r="AF22" s="10">
        <v>2465</v>
      </c>
      <c r="AG22" s="10">
        <v>0</v>
      </c>
      <c r="AH22" s="10">
        <v>0</v>
      </c>
      <c r="AI22" s="10">
        <v>1379678.1375</v>
      </c>
      <c r="AJ22" s="10">
        <v>0</v>
      </c>
      <c r="AL22" s="10">
        <v>3579255.5</v>
      </c>
      <c r="AM22" s="10">
        <v>3436085.28</v>
      </c>
      <c r="AN22" s="10">
        <v>2494</v>
      </c>
      <c r="AO22" s="10">
        <v>0</v>
      </c>
      <c r="AP22" s="10">
        <v>0</v>
      </c>
      <c r="AQ22" s="10">
        <v>1395909.645</v>
      </c>
      <c r="AR22" s="10">
        <v>0</v>
      </c>
      <c r="AS22" s="10">
        <v>3579255.5</v>
      </c>
      <c r="AT22" s="10">
        <v>3436085.28</v>
      </c>
      <c r="AU22" s="10">
        <v>2494</v>
      </c>
      <c r="AV22" s="10">
        <v>0</v>
      </c>
      <c r="AW22" s="10">
        <v>0</v>
      </c>
      <c r="AX22" s="10">
        <v>1395909.645</v>
      </c>
      <c r="AY22" s="10">
        <v>0</v>
      </c>
      <c r="BA22" s="11">
        <v>4161925</v>
      </c>
      <c r="BB22" s="11">
        <v>1623150.75</v>
      </c>
      <c r="BC22" s="11">
        <v>3537636.25</v>
      </c>
      <c r="BD22" s="11">
        <v>1379678.1375</v>
      </c>
      <c r="BE22" s="11">
        <v>3579255.5</v>
      </c>
      <c r="BF22" s="11">
        <v>1395909.645</v>
      </c>
      <c r="BG22" s="11">
        <v>3579255.5</v>
      </c>
      <c r="BH22" s="11">
        <v>1395909.645</v>
      </c>
      <c r="BI22" s="11"/>
      <c r="BJ22" s="11">
        <v>3579255.5</v>
      </c>
      <c r="BK22" s="11">
        <v>1395909.645</v>
      </c>
      <c r="BM22" t="s">
        <v>40</v>
      </c>
      <c r="BN22" s="9">
        <v>0.13800000000000001</v>
      </c>
      <c r="BO22" s="9">
        <v>0.14499999999999999</v>
      </c>
      <c r="BP22" s="9"/>
      <c r="BQ22" s="72">
        <v>0.13800000000000001</v>
      </c>
      <c r="BR22" s="72">
        <v>0.14499999999999999</v>
      </c>
      <c r="BS22" s="10">
        <v>620418.308126922</v>
      </c>
      <c r="BT22" s="11">
        <v>4975165.1449999996</v>
      </c>
      <c r="BU22" s="22">
        <v>0.12470305809857132</v>
      </c>
      <c r="BV22" s="11">
        <v>4975165.1449999996</v>
      </c>
      <c r="BW22" s="10">
        <v>620418.308126922</v>
      </c>
      <c r="BZ22" s="10"/>
    </row>
    <row r="23" spans="1:78">
      <c r="A23" t="str">
        <v>1a</v>
      </c>
      <c r="B23" t="str">
        <v>P_1a</v>
      </c>
      <c r="C23" t="str">
        <v>specialised</v>
      </c>
      <c r="D23" s="10">
        <v>4503698</v>
      </c>
      <c r="E23" s="10">
        <v>4503698</v>
      </c>
      <c r="F23" s="10">
        <v>2900</v>
      </c>
      <c r="G23" s="10">
        <v>0</v>
      </c>
      <c r="H23" s="10">
        <v>0</v>
      </c>
      <c r="I23" s="10">
        <v>2026664.1</v>
      </c>
      <c r="J23" s="10">
        <v>0</v>
      </c>
      <c r="K23" s="10">
        <v>4503698</v>
      </c>
      <c r="L23" s="10">
        <v>4503698</v>
      </c>
      <c r="M23" s="10">
        <v>2900</v>
      </c>
      <c r="N23" s="10">
        <v>0</v>
      </c>
      <c r="O23" s="10">
        <v>0</v>
      </c>
      <c r="P23" s="10">
        <v>2026664.1</v>
      </c>
      <c r="Q23" s="10">
        <v>0</v>
      </c>
      <c r="S23" t="str">
        <v>P_1a</v>
      </c>
      <c r="T23" t="str">
        <v>P</v>
      </c>
      <c r="U23" t="str">
        <v>1a</v>
      </c>
      <c r="W23" s="10">
        <v>4503698</v>
      </c>
      <c r="X23" s="10">
        <v>4503698</v>
      </c>
      <c r="Y23" s="10">
        <v>2900</v>
      </c>
      <c r="Z23" s="10">
        <v>0</v>
      </c>
      <c r="AA23" s="10">
        <v>0</v>
      </c>
      <c r="AB23" s="10">
        <v>2026664.1</v>
      </c>
      <c r="AC23" s="10">
        <v>0</v>
      </c>
      <c r="AD23" s="10">
        <v>4503698</v>
      </c>
      <c r="AE23" s="10">
        <v>4503698</v>
      </c>
      <c r="AF23" s="10">
        <v>2900</v>
      </c>
      <c r="AG23" s="10">
        <v>0</v>
      </c>
      <c r="AH23" s="10">
        <v>0</v>
      </c>
      <c r="AI23" s="10">
        <v>2026664.1</v>
      </c>
      <c r="AJ23" s="10">
        <v>0</v>
      </c>
      <c r="AL23" s="10">
        <v>4503698</v>
      </c>
      <c r="AM23" s="10">
        <v>4503698</v>
      </c>
      <c r="AN23" s="10">
        <v>2900</v>
      </c>
      <c r="AO23" s="10">
        <v>0</v>
      </c>
      <c r="AP23" s="10">
        <v>0</v>
      </c>
      <c r="AQ23" s="10">
        <v>2026664.1</v>
      </c>
      <c r="AR23" s="10">
        <v>0</v>
      </c>
      <c r="AS23" s="10">
        <v>4503698</v>
      </c>
      <c r="AT23" s="10">
        <v>4503698</v>
      </c>
      <c r="AU23" s="10">
        <v>2900</v>
      </c>
      <c r="AV23" s="10">
        <v>0</v>
      </c>
      <c r="AW23" s="10">
        <v>0</v>
      </c>
      <c r="AX23" s="10">
        <v>2026664.1</v>
      </c>
      <c r="AY23" s="10">
        <v>0</v>
      </c>
      <c r="BA23" s="11">
        <v>4503698</v>
      </c>
      <c r="BB23" s="11">
        <v>2026664.1</v>
      </c>
      <c r="BC23" s="11">
        <v>4503698</v>
      </c>
      <c r="BD23" s="11">
        <v>2026664.1</v>
      </c>
      <c r="BE23" s="11">
        <v>4503698</v>
      </c>
      <c r="BF23" s="11">
        <v>2026664.1</v>
      </c>
      <c r="BG23" s="11">
        <v>4503698</v>
      </c>
      <c r="BH23" s="11">
        <v>2026664.1</v>
      </c>
      <c r="BI23" s="11"/>
      <c r="BJ23" s="11">
        <v>4503698</v>
      </c>
      <c r="BK23" s="11">
        <v>2026664.1</v>
      </c>
      <c r="BM23" t="s">
        <v>41</v>
      </c>
      <c r="BN23" s="9">
        <v>0.4</v>
      </c>
      <c r="BO23" s="9">
        <v>0.2</v>
      </c>
      <c r="BP23" s="9"/>
      <c r="BQ23" s="72">
        <v>6.3E-2</v>
      </c>
      <c r="BR23" s="72">
        <v>0.06</v>
      </c>
      <c r="BS23" s="10">
        <v>360267.69078787847</v>
      </c>
      <c r="BT23" s="11">
        <v>6530362.0999999996</v>
      </c>
      <c r="BU23" s="22">
        <v>5.5168103279889871E-2</v>
      </c>
      <c r="BV23" s="11">
        <v>6530362.0999999996</v>
      </c>
      <c r="BW23" s="10">
        <v>360267.69078787847</v>
      </c>
      <c r="BY23" s="53" t="s">
        <v>201</v>
      </c>
      <c r="BZ23" s="56" cm="1">
        <f t="array" ref="BZ23">3*SQRT(MMULT(MMULT(TRANSPOSE(_xlfn.ANCHORARRAY(BJ19)*_xlfn.ANCHORARRAY(BQ19)),_xlfn.ANCHORARRAY('Calculated Correlation Matrix'!$B$7)),_xlfn.ANCHORARRAY(BJ19)*_xlfn.ANCHORARRAY(BQ19)))</f>
        <v>18661487.13870424</v>
      </c>
    </row>
    <row r="24" spans="1:78">
      <c r="A24" t="str">
        <v>3ii</v>
      </c>
      <c r="B24" t="str">
        <v>D_3ii</v>
      </c>
      <c r="C24" t="str">
        <v>partnerships</v>
      </c>
      <c r="D24" s="10">
        <v>2264437</v>
      </c>
      <c r="E24" s="10">
        <v>1947415.82</v>
      </c>
      <c r="F24" s="10">
        <v>3500</v>
      </c>
      <c r="G24" s="10">
        <v>454</v>
      </c>
      <c r="H24" s="10">
        <v>0</v>
      </c>
      <c r="I24" s="10">
        <v>747264.21000000008</v>
      </c>
      <c r="J24" s="10">
        <v>0</v>
      </c>
      <c r="K24" s="10">
        <v>2264437</v>
      </c>
      <c r="L24" s="10">
        <v>1947415.82</v>
      </c>
      <c r="M24" s="10">
        <v>3500</v>
      </c>
      <c r="N24" s="10">
        <v>454</v>
      </c>
      <c r="O24" s="10">
        <v>0</v>
      </c>
      <c r="P24" s="10">
        <v>747264.21000000008</v>
      </c>
      <c r="Q24" s="10">
        <v>0</v>
      </c>
      <c r="S24" t="str">
        <v>D_3ii</v>
      </c>
      <c r="T24" t="str">
        <v>D</v>
      </c>
      <c r="U24" t="str">
        <v>3ii</v>
      </c>
      <c r="W24" s="10">
        <v>2264437</v>
      </c>
      <c r="X24" s="10">
        <v>1947415.82</v>
      </c>
      <c r="Y24" s="10">
        <v>3500</v>
      </c>
      <c r="Z24" s="10">
        <v>454</v>
      </c>
      <c r="AA24" s="10">
        <v>0</v>
      </c>
      <c r="AB24" s="10">
        <v>747264.21000000008</v>
      </c>
      <c r="AC24" s="10">
        <v>0</v>
      </c>
      <c r="AD24" s="10">
        <v>2264437</v>
      </c>
      <c r="AE24" s="10">
        <v>1947415.82</v>
      </c>
      <c r="AF24" s="10">
        <v>3500</v>
      </c>
      <c r="AG24" s="10">
        <v>0</v>
      </c>
      <c r="AH24" s="10">
        <v>0</v>
      </c>
      <c r="AI24" s="10">
        <v>747264.21000000008</v>
      </c>
      <c r="AJ24" s="10">
        <v>0</v>
      </c>
      <c r="AL24" s="10">
        <v>2264437</v>
      </c>
      <c r="AM24" s="10">
        <v>1947415.82</v>
      </c>
      <c r="AN24" s="10">
        <v>3500</v>
      </c>
      <c r="AO24" s="10">
        <v>454</v>
      </c>
      <c r="AP24" s="10">
        <v>0</v>
      </c>
      <c r="AQ24" s="10">
        <v>747264.21000000008</v>
      </c>
      <c r="AR24" s="10">
        <v>0</v>
      </c>
      <c r="AS24" s="10">
        <v>2264437</v>
      </c>
      <c r="AT24" s="10">
        <v>1947415.82</v>
      </c>
      <c r="AU24" s="10">
        <v>3500</v>
      </c>
      <c r="AV24" s="10">
        <v>454</v>
      </c>
      <c r="AW24" s="10">
        <v>0</v>
      </c>
      <c r="AX24" s="10">
        <v>747264.21000000008</v>
      </c>
      <c r="AY24" s="10">
        <v>0</v>
      </c>
      <c r="BA24" s="11">
        <v>2264891</v>
      </c>
      <c r="BB24" s="11">
        <v>747264.21000000008</v>
      </c>
      <c r="BC24" s="11">
        <v>2264437</v>
      </c>
      <c r="BD24" s="11">
        <v>747264.21000000008</v>
      </c>
      <c r="BE24" s="11">
        <v>2264891</v>
      </c>
      <c r="BF24" s="11">
        <v>747264.21000000008</v>
      </c>
      <c r="BG24" s="11">
        <v>2264891</v>
      </c>
      <c r="BH24" s="11">
        <v>747264.21000000008</v>
      </c>
      <c r="BI24" s="11"/>
      <c r="BJ24" s="11">
        <v>2264891</v>
      </c>
      <c r="BK24" s="11">
        <v>747264.21000000008</v>
      </c>
      <c r="BM24" t="s">
        <v>42</v>
      </c>
      <c r="BN24" s="9">
        <v>0.1</v>
      </c>
      <c r="BO24" s="9">
        <v>0.09</v>
      </c>
      <c r="BP24" s="9"/>
      <c r="BQ24" s="72">
        <v>0.1</v>
      </c>
      <c r="BR24" s="72">
        <v>0.09</v>
      </c>
      <c r="BS24" s="10">
        <v>266556.99399903219</v>
      </c>
      <c r="BT24" s="11">
        <v>3012155.21</v>
      </c>
      <c r="BU24" s="22">
        <v>8.8493777848529992E-2</v>
      </c>
      <c r="BV24" s="11">
        <v>3012155.21</v>
      </c>
      <c r="BW24" s="10">
        <v>266556.99399903219</v>
      </c>
      <c r="BY24" s="53" t="s">
        <v>202</v>
      </c>
      <c r="BZ24" s="56" cm="1">
        <f t="array" ref="BZ24">3*SQRT(MMULT(MMULT(TRANSPOSE(_xlfn.ANCHORARRAY(BK19)*_xlfn.ANCHORARRAY(BR19)),_xlfn.ANCHORARRAY('Calculated Correlation Matrix'!$B$7)),_xlfn.ANCHORARRAY(BK19)*_xlfn.ANCHORARRAY(BR19)))</f>
        <v>7080460.6933393534</v>
      </c>
    </row>
    <row r="25" spans="1:78">
      <c r="A25" t="str">
        <v>3iii</v>
      </c>
      <c r="B25" t="str">
        <v>D_3iii</v>
      </c>
      <c r="C25" t="str">
        <v>specialised</v>
      </c>
      <c r="D25" s="10">
        <v>2120230.75</v>
      </c>
      <c r="E25" s="10">
        <v>2141433.0575000001</v>
      </c>
      <c r="F25" s="10">
        <v>1155</v>
      </c>
      <c r="G25" s="10">
        <v>0</v>
      </c>
      <c r="H25" s="10">
        <v>0</v>
      </c>
      <c r="I25" s="10">
        <v>869294.60750000004</v>
      </c>
      <c r="J25" s="10">
        <v>0</v>
      </c>
      <c r="K25" s="10">
        <v>2120230.75</v>
      </c>
      <c r="L25" s="10">
        <v>2141433.0575000001</v>
      </c>
      <c r="M25" s="10">
        <v>1155</v>
      </c>
      <c r="N25" s="10">
        <v>0</v>
      </c>
      <c r="O25" s="10">
        <v>0</v>
      </c>
      <c r="P25" s="10">
        <v>869294.60750000004</v>
      </c>
      <c r="Q25" s="10">
        <v>0</v>
      </c>
      <c r="S25" t="str">
        <v>D_3iii</v>
      </c>
      <c r="T25" t="str">
        <v>D</v>
      </c>
      <c r="U25" t="str">
        <v>3iii</v>
      </c>
      <c r="W25" s="10">
        <v>3854965</v>
      </c>
      <c r="X25" s="10">
        <v>3893514.65</v>
      </c>
      <c r="Y25" s="10">
        <v>2100</v>
      </c>
      <c r="Z25" s="10">
        <v>0</v>
      </c>
      <c r="AA25" s="10">
        <v>0</v>
      </c>
      <c r="AB25" s="10">
        <v>1580535.65</v>
      </c>
      <c r="AC25" s="10">
        <v>0</v>
      </c>
      <c r="AD25" s="10">
        <v>1927482.5</v>
      </c>
      <c r="AE25" s="10">
        <v>1946757.325</v>
      </c>
      <c r="AF25" s="10">
        <v>1050</v>
      </c>
      <c r="AG25" s="10">
        <v>0</v>
      </c>
      <c r="AH25" s="10">
        <v>0</v>
      </c>
      <c r="AI25" s="10">
        <v>790267.82499999995</v>
      </c>
      <c r="AJ25" s="10">
        <v>0</v>
      </c>
      <c r="AL25" s="10">
        <v>2120230.75</v>
      </c>
      <c r="AM25" s="10">
        <v>2141433.0575000001</v>
      </c>
      <c r="AN25" s="10">
        <v>1155</v>
      </c>
      <c r="AO25" s="10">
        <v>0</v>
      </c>
      <c r="AP25" s="10">
        <v>0</v>
      </c>
      <c r="AQ25" s="10">
        <v>869294.60750000004</v>
      </c>
      <c r="AR25" s="10">
        <v>0</v>
      </c>
      <c r="AS25" s="10">
        <v>2120230.75</v>
      </c>
      <c r="AT25" s="10">
        <v>2141433.0575000001</v>
      </c>
      <c r="AU25" s="10">
        <v>1155</v>
      </c>
      <c r="AV25" s="10">
        <v>0</v>
      </c>
      <c r="AW25" s="10">
        <v>0</v>
      </c>
      <c r="AX25" s="10">
        <v>869294.60750000004</v>
      </c>
      <c r="AY25" s="10">
        <v>0</v>
      </c>
      <c r="BA25" s="11">
        <v>3893514.65</v>
      </c>
      <c r="BB25" s="11">
        <v>1580535.65</v>
      </c>
      <c r="BC25" s="11">
        <v>1946757.325</v>
      </c>
      <c r="BD25" s="11">
        <v>790267.82499999995</v>
      </c>
      <c r="BE25" s="11">
        <v>2141433.0575000001</v>
      </c>
      <c r="BF25" s="11">
        <v>869294.60750000004</v>
      </c>
      <c r="BG25" s="11">
        <v>2141433.0575000001</v>
      </c>
      <c r="BH25" s="11">
        <v>869294.60750000004</v>
      </c>
      <c r="BI25" s="11"/>
      <c r="BJ25" s="11">
        <v>2141433.0575000001</v>
      </c>
      <c r="BK25" s="11">
        <v>869294.60750000004</v>
      </c>
      <c r="BM25" t="s">
        <v>43</v>
      </c>
      <c r="BN25" s="9">
        <v>9.0999999999999998E-2</v>
      </c>
      <c r="BO25" s="9">
        <v>0.23200000000000001</v>
      </c>
      <c r="BP25" s="9"/>
      <c r="BQ25" s="72">
        <v>9.0999999999999998E-2</v>
      </c>
      <c r="BR25" s="72">
        <v>0.23200000000000001</v>
      </c>
      <c r="BS25" s="10">
        <v>343436.42523070815</v>
      </c>
      <c r="BT25" s="11">
        <v>3010727.665</v>
      </c>
      <c r="BU25" s="22">
        <v>0.11407090359689114</v>
      </c>
      <c r="BV25" s="11">
        <v>3010727.665</v>
      </c>
      <c r="BW25" s="10">
        <v>343436.42523070815</v>
      </c>
      <c r="BY25" s="53" t="s">
        <v>203</v>
      </c>
      <c r="BZ25" s="56" cm="1">
        <f t="array" ref="BZ25">3*SQRT(MMULT(MMULT(TRANSPOSE(_xlfn.ANCHORARRAY(BS19)),_xlfn.ANCHORARRAY('Calculated Correlation Matrix'!$B$7)),_xlfn.ANCHORARRAY(BS19)))</f>
        <v>23121389.475048158</v>
      </c>
    </row>
    <row r="26" spans="1:78">
      <c r="A26" t="str">
        <v>4i</v>
      </c>
      <c r="B26" t="str">
        <v>P_4i</v>
      </c>
      <c r="C26" t="str">
        <v>direct</v>
      </c>
      <c r="D26" s="10">
        <v>4966421</v>
      </c>
      <c r="E26" s="10">
        <v>5065749.42</v>
      </c>
      <c r="F26" s="10">
        <v>2000</v>
      </c>
      <c r="G26" s="10">
        <v>0</v>
      </c>
      <c r="H26" s="10">
        <v>0</v>
      </c>
      <c r="I26" s="10">
        <v>1440262.0899999999</v>
      </c>
      <c r="J26" s="10">
        <v>0</v>
      </c>
      <c r="K26" s="10">
        <v>4966421</v>
      </c>
      <c r="L26" s="10">
        <v>5065749.42</v>
      </c>
      <c r="M26" s="10">
        <v>2000</v>
      </c>
      <c r="N26" s="10">
        <v>0</v>
      </c>
      <c r="O26" s="10">
        <v>0</v>
      </c>
      <c r="P26" s="10">
        <v>1440262.0899999999</v>
      </c>
      <c r="Q26" s="10">
        <v>0</v>
      </c>
      <c r="S26" t="str">
        <v>P_4i</v>
      </c>
      <c r="T26" t="str">
        <v>P</v>
      </c>
      <c r="U26" t="str">
        <v>4i</v>
      </c>
      <c r="W26" s="10">
        <v>4966421</v>
      </c>
      <c r="X26" s="10">
        <v>5065749.42</v>
      </c>
      <c r="Y26" s="10">
        <v>2000</v>
      </c>
      <c r="Z26" s="10">
        <v>0</v>
      </c>
      <c r="AA26" s="10">
        <v>0</v>
      </c>
      <c r="AB26" s="10">
        <v>1440262.0899999999</v>
      </c>
      <c r="AC26" s="10">
        <v>0</v>
      </c>
      <c r="AD26" s="10">
        <v>4966421</v>
      </c>
      <c r="AE26" s="10">
        <v>5065749.42</v>
      </c>
      <c r="AF26" s="10">
        <v>2000</v>
      </c>
      <c r="AG26" s="10">
        <v>0</v>
      </c>
      <c r="AH26" s="10">
        <v>0</v>
      </c>
      <c r="AI26" s="10">
        <v>1440262.0899999999</v>
      </c>
      <c r="AJ26" s="10">
        <v>0</v>
      </c>
      <c r="AL26" s="10">
        <v>4966421</v>
      </c>
      <c r="AM26" s="10">
        <v>5065749.42</v>
      </c>
      <c r="AN26" s="10">
        <v>2000</v>
      </c>
      <c r="AO26" s="10">
        <v>0</v>
      </c>
      <c r="AP26" s="10">
        <v>0</v>
      </c>
      <c r="AQ26" s="10">
        <v>1440262.0899999999</v>
      </c>
      <c r="AR26" s="10">
        <v>0</v>
      </c>
      <c r="AS26" s="10">
        <v>4966421</v>
      </c>
      <c r="AT26" s="10">
        <v>5065749.42</v>
      </c>
      <c r="AU26" s="10">
        <v>2000</v>
      </c>
      <c r="AV26" s="10">
        <v>0</v>
      </c>
      <c r="AW26" s="10">
        <v>0</v>
      </c>
      <c r="AX26" s="10">
        <v>1440262.0899999999</v>
      </c>
      <c r="AY26" s="10">
        <v>0</v>
      </c>
      <c r="BA26" s="11">
        <v>5065749.42</v>
      </c>
      <c r="BB26" s="11">
        <v>1440262.0899999999</v>
      </c>
      <c r="BC26" s="11">
        <v>5065749.42</v>
      </c>
      <c r="BD26" s="11">
        <v>1440262.0899999999</v>
      </c>
      <c r="BE26" s="11">
        <v>5065749.42</v>
      </c>
      <c r="BF26" s="11">
        <v>1440262.0899999999</v>
      </c>
      <c r="BG26" s="11">
        <v>5065749.42</v>
      </c>
      <c r="BH26" s="11">
        <v>1440262.0899999999</v>
      </c>
      <c r="BI26" s="11"/>
      <c r="BJ26" s="11">
        <v>5065749.42</v>
      </c>
      <c r="BK26" s="11">
        <v>1440262.0899999999</v>
      </c>
      <c r="BM26" t="s">
        <v>44</v>
      </c>
      <c r="BN26" s="9">
        <v>0.109</v>
      </c>
      <c r="BO26" s="9">
        <v>0.13500000000000001</v>
      </c>
      <c r="BP26" s="9"/>
      <c r="BQ26" s="72">
        <v>0.109</v>
      </c>
      <c r="BR26" s="72">
        <v>0.13500000000000001</v>
      </c>
      <c r="BS26" s="10">
        <v>670860.57312677708</v>
      </c>
      <c r="BT26" s="11">
        <v>6506011.5099999998</v>
      </c>
      <c r="BU26" s="22">
        <v>0.10311395423995755</v>
      </c>
      <c r="BV26" s="11">
        <v>6506011.5099999998</v>
      </c>
      <c r="BW26" s="10">
        <v>670860.57312677708</v>
      </c>
    </row>
    <row r="27" spans="1:78">
      <c r="A27" t="str">
        <v>4ii</v>
      </c>
      <c r="B27" t="str">
        <v>D_4ii</v>
      </c>
      <c r="C27" t="str">
        <v>specialised</v>
      </c>
      <c r="D27" s="10">
        <v>1419290</v>
      </c>
      <c r="E27" s="10">
        <v>1263168.1000000001</v>
      </c>
      <c r="F27" s="10">
        <v>2900</v>
      </c>
      <c r="G27" s="10">
        <v>545</v>
      </c>
      <c r="H27" s="10">
        <v>0</v>
      </c>
      <c r="I27" s="10">
        <v>383208.30000000005</v>
      </c>
      <c r="J27" s="10">
        <v>0</v>
      </c>
      <c r="K27" s="10">
        <v>1419290</v>
      </c>
      <c r="L27" s="10">
        <v>1263168.1000000001</v>
      </c>
      <c r="M27" s="10">
        <v>2900</v>
      </c>
      <c r="N27" s="10">
        <v>545</v>
      </c>
      <c r="O27" s="10">
        <v>0</v>
      </c>
      <c r="P27" s="10">
        <v>383208.30000000005</v>
      </c>
      <c r="Q27" s="10">
        <v>0</v>
      </c>
      <c r="S27" t="str">
        <v>D_4ii</v>
      </c>
      <c r="T27" t="str">
        <v>D</v>
      </c>
      <c r="U27" t="str">
        <v>4ii</v>
      </c>
      <c r="W27" s="10">
        <v>1419290</v>
      </c>
      <c r="X27" s="10">
        <v>1263168.1000000001</v>
      </c>
      <c r="Y27" s="10">
        <v>2900</v>
      </c>
      <c r="Z27" s="10">
        <v>545</v>
      </c>
      <c r="AA27" s="10">
        <v>0</v>
      </c>
      <c r="AB27" s="10">
        <v>383208.30000000005</v>
      </c>
      <c r="AC27" s="10">
        <v>0</v>
      </c>
      <c r="AD27" s="10">
        <v>1419290</v>
      </c>
      <c r="AE27" s="10">
        <v>1263168.1000000001</v>
      </c>
      <c r="AF27" s="10">
        <v>2900</v>
      </c>
      <c r="AG27" s="10">
        <v>0</v>
      </c>
      <c r="AH27" s="10">
        <v>0</v>
      </c>
      <c r="AI27" s="10">
        <v>383208.30000000005</v>
      </c>
      <c r="AJ27" s="10">
        <v>0</v>
      </c>
      <c r="AL27" s="10">
        <v>1419290</v>
      </c>
      <c r="AM27" s="10">
        <v>1263168.1000000001</v>
      </c>
      <c r="AN27" s="10">
        <v>2900</v>
      </c>
      <c r="AO27" s="10">
        <v>545</v>
      </c>
      <c r="AP27" s="10">
        <v>0</v>
      </c>
      <c r="AQ27" s="10">
        <v>383208.30000000005</v>
      </c>
      <c r="AR27" s="10">
        <v>0</v>
      </c>
      <c r="AS27" s="10">
        <v>1419290</v>
      </c>
      <c r="AT27" s="10">
        <v>1263168.1000000001</v>
      </c>
      <c r="AU27" s="10">
        <v>2900</v>
      </c>
      <c r="AV27" s="10">
        <v>545</v>
      </c>
      <c r="AW27" s="10">
        <v>0</v>
      </c>
      <c r="AX27" s="10">
        <v>383208.30000000005</v>
      </c>
      <c r="AY27" s="10">
        <v>0</v>
      </c>
      <c r="BA27" s="11">
        <v>1419835</v>
      </c>
      <c r="BB27" s="11">
        <v>383208.30000000005</v>
      </c>
      <c r="BC27" s="11">
        <v>1419290</v>
      </c>
      <c r="BD27" s="11">
        <v>383208.30000000005</v>
      </c>
      <c r="BE27" s="11">
        <v>1419835</v>
      </c>
      <c r="BF27" s="11">
        <v>383208.30000000005</v>
      </c>
      <c r="BG27" s="11">
        <v>1419835</v>
      </c>
      <c r="BH27" s="11">
        <v>383208.30000000005</v>
      </c>
      <c r="BI27" s="11"/>
      <c r="BJ27" s="11">
        <v>1419835</v>
      </c>
      <c r="BK27" s="11">
        <v>383208.30000000005</v>
      </c>
      <c r="BM27" t="s">
        <v>45</v>
      </c>
      <c r="BN27" s="9">
        <v>0.109</v>
      </c>
      <c r="BO27" s="9">
        <v>0.13500000000000001</v>
      </c>
      <c r="BP27" s="9"/>
      <c r="BQ27" s="72">
        <v>0.109</v>
      </c>
      <c r="BR27" s="72">
        <v>0.13500000000000001</v>
      </c>
      <c r="BS27" s="10">
        <v>186101.90491863742</v>
      </c>
      <c r="BT27" s="11">
        <v>1803043.3</v>
      </c>
      <c r="BU27" s="22">
        <v>0.10321543854140243</v>
      </c>
      <c r="BV27" s="11">
        <v>1803043.3</v>
      </c>
      <c r="BW27" s="10">
        <v>186101.90491863742</v>
      </c>
    </row>
    <row r="28" spans="1:78">
      <c r="A28" t="str">
        <v>5i</v>
      </c>
      <c r="B28" t="str">
        <v>D_5i</v>
      </c>
      <c r="C28" t="str">
        <v>direct</v>
      </c>
      <c r="D28" s="10">
        <v>1923942</v>
      </c>
      <c r="E28" s="10">
        <v>2212533.2999999998</v>
      </c>
      <c r="F28" s="10">
        <v>2900</v>
      </c>
      <c r="G28" s="10">
        <v>0</v>
      </c>
      <c r="H28" s="10">
        <v>0</v>
      </c>
      <c r="I28" s="10">
        <v>634900.86</v>
      </c>
      <c r="J28" s="10">
        <v>0</v>
      </c>
      <c r="K28" s="10">
        <v>1923942</v>
      </c>
      <c r="L28" s="10">
        <v>2212533.2999999998</v>
      </c>
      <c r="M28" s="10">
        <v>2900</v>
      </c>
      <c r="N28" s="10">
        <v>0</v>
      </c>
      <c r="O28" s="10">
        <v>0</v>
      </c>
      <c r="P28" s="10">
        <v>634900.86</v>
      </c>
      <c r="Q28" s="10">
        <v>0</v>
      </c>
      <c r="S28" t="str">
        <v>D_5i</v>
      </c>
      <c r="T28" t="str">
        <v>D</v>
      </c>
      <c r="U28" t="str">
        <v>5i</v>
      </c>
      <c r="W28" s="10">
        <v>1923942</v>
      </c>
      <c r="X28" s="10">
        <v>2212533.2999999998</v>
      </c>
      <c r="Y28" s="10">
        <v>2900</v>
      </c>
      <c r="Z28" s="10">
        <v>0</v>
      </c>
      <c r="AA28" s="10">
        <v>0</v>
      </c>
      <c r="AB28" s="10">
        <v>634900.86</v>
      </c>
      <c r="AC28" s="10">
        <v>0</v>
      </c>
      <c r="AD28" s="10">
        <v>1923942</v>
      </c>
      <c r="AE28" s="10">
        <v>2212533.2999999998</v>
      </c>
      <c r="AF28" s="10">
        <v>2900</v>
      </c>
      <c r="AG28" s="10">
        <v>0</v>
      </c>
      <c r="AH28" s="10">
        <v>0</v>
      </c>
      <c r="AI28" s="10">
        <v>634900.86</v>
      </c>
      <c r="AJ28" s="10">
        <v>0</v>
      </c>
      <c r="AL28" s="10">
        <v>1923942</v>
      </c>
      <c r="AM28" s="10">
        <v>2212533.2999999998</v>
      </c>
      <c r="AN28" s="10">
        <v>2900</v>
      </c>
      <c r="AO28" s="10">
        <v>0</v>
      </c>
      <c r="AP28" s="10">
        <v>0</v>
      </c>
      <c r="AQ28" s="10">
        <v>634900.86</v>
      </c>
      <c r="AR28" s="10">
        <v>0</v>
      </c>
      <c r="AS28" s="10">
        <v>1923942</v>
      </c>
      <c r="AT28" s="10">
        <v>2212533.2999999998</v>
      </c>
      <c r="AU28" s="10">
        <v>2900</v>
      </c>
      <c r="AV28" s="10">
        <v>0</v>
      </c>
      <c r="AW28" s="10">
        <v>0</v>
      </c>
      <c r="AX28" s="10">
        <v>634900.86</v>
      </c>
      <c r="AY28" s="10">
        <v>0</v>
      </c>
      <c r="BA28" s="11">
        <v>2212533.2999999998</v>
      </c>
      <c r="BB28" s="11">
        <v>634900.86</v>
      </c>
      <c r="BC28" s="11">
        <v>2212533.2999999998</v>
      </c>
      <c r="BD28" s="11">
        <v>634900.86</v>
      </c>
      <c r="BE28" s="11">
        <v>2212533.2999999998</v>
      </c>
      <c r="BF28" s="11">
        <v>634900.86</v>
      </c>
      <c r="BG28" s="11">
        <v>2212533.2999999998</v>
      </c>
      <c r="BH28" s="11">
        <v>634900.86</v>
      </c>
      <c r="BI28" s="11"/>
      <c r="BJ28" s="11">
        <v>2212533.2999999998</v>
      </c>
      <c r="BK28" s="11">
        <v>634900.86</v>
      </c>
      <c r="BM28" t="s">
        <v>46</v>
      </c>
      <c r="BN28" s="9">
        <v>0.14599999999999999</v>
      </c>
      <c r="BO28" s="9">
        <v>0.107</v>
      </c>
      <c r="BP28" s="9"/>
      <c r="BQ28" s="72">
        <v>0.14599999999999999</v>
      </c>
      <c r="BR28" s="72">
        <v>0.107</v>
      </c>
      <c r="BS28" s="10">
        <v>361812.39682927082</v>
      </c>
      <c r="BT28" s="11">
        <v>2847434.1599999997</v>
      </c>
      <c r="BU28" s="22">
        <v>0.12706611514040095</v>
      </c>
      <c r="BV28" s="11">
        <v>2847434.1599999997</v>
      </c>
      <c r="BW28" s="10">
        <v>361812.39682927082</v>
      </c>
    </row>
    <row r="29" spans="1:78">
      <c r="A29" t="str">
        <v>5ii</v>
      </c>
      <c r="B29" t="str">
        <v>P_5ii</v>
      </c>
      <c r="C29" t="str">
        <v>intermediated</v>
      </c>
      <c r="D29" s="10">
        <v>3440269.18</v>
      </c>
      <c r="E29" s="10">
        <v>-3134538.32</v>
      </c>
      <c r="F29" s="10">
        <v>3010</v>
      </c>
      <c r="G29" s="10">
        <v>0</v>
      </c>
      <c r="H29" s="10">
        <v>0</v>
      </c>
      <c r="I29" s="10">
        <v>1548121.1310000001</v>
      </c>
      <c r="J29" s="10">
        <v>0</v>
      </c>
      <c r="K29" s="10">
        <v>3440269.18</v>
      </c>
      <c r="L29" s="10">
        <v>-3134538.32</v>
      </c>
      <c r="M29" s="10">
        <v>3010</v>
      </c>
      <c r="N29" s="10">
        <v>0</v>
      </c>
      <c r="O29" s="10">
        <v>0</v>
      </c>
      <c r="P29" s="10">
        <v>1548121.1310000001</v>
      </c>
      <c r="Q29" s="10">
        <v>0</v>
      </c>
      <c r="S29" t="str">
        <v>P_5ii</v>
      </c>
      <c r="T29" t="str">
        <v>P</v>
      </c>
      <c r="U29" t="str">
        <v>5ii</v>
      </c>
      <c r="W29" s="10">
        <v>4000313</v>
      </c>
      <c r="X29" s="10">
        <v>-3644812</v>
      </c>
      <c r="Y29" s="10">
        <v>3500</v>
      </c>
      <c r="Z29" s="10">
        <v>0</v>
      </c>
      <c r="AA29" s="10">
        <v>0</v>
      </c>
      <c r="AB29" s="10">
        <v>1800140.85</v>
      </c>
      <c r="AC29" s="10">
        <v>0</v>
      </c>
      <c r="AD29" s="10">
        <v>3400266.05</v>
      </c>
      <c r="AE29" s="10">
        <v>3060239.4450000003</v>
      </c>
      <c r="AF29" s="10">
        <v>2975</v>
      </c>
      <c r="AG29" s="10">
        <v>0</v>
      </c>
      <c r="AH29" s="10">
        <v>0</v>
      </c>
      <c r="AI29" s="10">
        <v>1530119.7225000001</v>
      </c>
      <c r="AJ29" s="10">
        <v>0</v>
      </c>
      <c r="AL29" s="10">
        <v>3440269.18</v>
      </c>
      <c r="AM29" s="10">
        <v>-3134538.32</v>
      </c>
      <c r="AN29" s="10">
        <v>3010</v>
      </c>
      <c r="AO29" s="10">
        <v>0</v>
      </c>
      <c r="AP29" s="10">
        <v>0</v>
      </c>
      <c r="AQ29" s="10">
        <v>1548121.1310000001</v>
      </c>
      <c r="AR29" s="10">
        <v>0</v>
      </c>
      <c r="AS29" s="10">
        <v>3440269.18</v>
      </c>
      <c r="AT29" s="10">
        <v>-3134538.32</v>
      </c>
      <c r="AU29" s="10">
        <v>3010</v>
      </c>
      <c r="AV29" s="10">
        <v>0</v>
      </c>
      <c r="AW29" s="10">
        <v>0</v>
      </c>
      <c r="AX29" s="10">
        <v>1548121.1310000001</v>
      </c>
      <c r="AY29" s="10">
        <v>0</v>
      </c>
      <c r="BA29" s="11">
        <v>4000313</v>
      </c>
      <c r="BB29" s="11">
        <v>1800140.85</v>
      </c>
      <c r="BC29" s="11">
        <v>3400266.05</v>
      </c>
      <c r="BD29" s="11">
        <v>1530119.7225000001</v>
      </c>
      <c r="BE29" s="11">
        <v>3440269.18</v>
      </c>
      <c r="BF29" s="11">
        <v>1548121.1310000001</v>
      </c>
      <c r="BG29" s="11">
        <v>3440269.18</v>
      </c>
      <c r="BH29" s="11">
        <v>1548121.1310000001</v>
      </c>
      <c r="BI29" s="11"/>
      <c r="BJ29" s="11">
        <v>3440269.18</v>
      </c>
      <c r="BK29" s="11">
        <v>1548121.1310000001</v>
      </c>
      <c r="BM29" t="s">
        <v>47</v>
      </c>
      <c r="BN29" s="9">
        <v>0.14599999999999999</v>
      </c>
      <c r="BO29" s="9">
        <v>0.107</v>
      </c>
      <c r="BP29" s="9"/>
      <c r="BQ29" s="72">
        <v>0.14599999999999999</v>
      </c>
      <c r="BR29" s="72">
        <v>0.107</v>
      </c>
      <c r="BS29" s="10">
        <v>602433.49675089098</v>
      </c>
      <c r="BT29" s="11">
        <v>4988390.3110000007</v>
      </c>
      <c r="BU29" s="22">
        <v>0.12076711307502395</v>
      </c>
      <c r="BV29" s="11">
        <v>4988390.3110000007</v>
      </c>
      <c r="BW29" s="10">
        <v>602433.49675089098</v>
      </c>
    </row>
    <row r="30" spans="1:78">
      <c r="A30" t="str">
        <v>6i</v>
      </c>
      <c r="B30" t="str">
        <v>D_6i</v>
      </c>
      <c r="C30" t="str">
        <v>specialised</v>
      </c>
      <c r="D30" s="10">
        <v>1652831</v>
      </c>
      <c r="E30" s="10">
        <v>1669359.31</v>
      </c>
      <c r="F30" s="10">
        <v>2100</v>
      </c>
      <c r="G30" s="10">
        <v>0</v>
      </c>
      <c r="H30" s="10">
        <v>895</v>
      </c>
      <c r="I30" s="10">
        <v>462792.68000000005</v>
      </c>
      <c r="J30" s="10">
        <v>0</v>
      </c>
      <c r="K30" s="10">
        <v>1652831</v>
      </c>
      <c r="L30" s="10">
        <v>1669359.31</v>
      </c>
      <c r="M30" s="10">
        <v>2100</v>
      </c>
      <c r="N30" s="10">
        <v>0</v>
      </c>
      <c r="O30" s="10">
        <v>895</v>
      </c>
      <c r="P30" s="10">
        <v>462792.68000000005</v>
      </c>
      <c r="Q30" s="10">
        <v>0</v>
      </c>
      <c r="S30" t="str">
        <v>D_6i</v>
      </c>
      <c r="T30" t="str">
        <v>D</v>
      </c>
      <c r="U30" t="str">
        <v>6i</v>
      </c>
      <c r="W30" s="10">
        <v>1652831</v>
      </c>
      <c r="X30" s="10">
        <v>1669359.31</v>
      </c>
      <c r="Y30" s="10">
        <v>2100</v>
      </c>
      <c r="Z30" s="10">
        <v>0</v>
      </c>
      <c r="AA30" s="10">
        <v>895</v>
      </c>
      <c r="AB30" s="10">
        <v>462792.68000000005</v>
      </c>
      <c r="AC30" s="10">
        <v>0</v>
      </c>
      <c r="AD30" s="10">
        <v>1652831</v>
      </c>
      <c r="AE30" s="10">
        <v>1669359.31</v>
      </c>
      <c r="AF30" s="10">
        <v>2100</v>
      </c>
      <c r="AG30" s="10">
        <v>0</v>
      </c>
      <c r="AH30" s="10">
        <v>0</v>
      </c>
      <c r="AI30" s="10">
        <v>462792.68000000005</v>
      </c>
      <c r="AJ30" s="10">
        <v>0</v>
      </c>
      <c r="AL30" s="10">
        <v>1652831</v>
      </c>
      <c r="AM30" s="10">
        <v>1669359.31</v>
      </c>
      <c r="AN30" s="10">
        <v>2100</v>
      </c>
      <c r="AO30" s="10">
        <v>0</v>
      </c>
      <c r="AP30" s="10">
        <v>895</v>
      </c>
      <c r="AQ30" s="10">
        <v>462792.68000000005</v>
      </c>
      <c r="AR30" s="10">
        <v>0</v>
      </c>
      <c r="AS30" s="10">
        <v>1652831</v>
      </c>
      <c r="AT30" s="10">
        <v>1669359.31</v>
      </c>
      <c r="AU30" s="10">
        <v>2100</v>
      </c>
      <c r="AV30" s="10">
        <v>0</v>
      </c>
      <c r="AW30" s="10">
        <v>895</v>
      </c>
      <c r="AX30" s="10">
        <v>462792.68000000005</v>
      </c>
      <c r="AY30" s="10">
        <v>0</v>
      </c>
      <c r="BA30" s="11">
        <v>1670254.31</v>
      </c>
      <c r="BB30" s="11">
        <v>462792.68000000005</v>
      </c>
      <c r="BC30" s="11">
        <v>1669359.31</v>
      </c>
      <c r="BD30" s="11">
        <v>462792.68000000005</v>
      </c>
      <c r="BE30" s="11">
        <v>1670254.31</v>
      </c>
      <c r="BF30" s="11">
        <v>462792.68000000005</v>
      </c>
      <c r="BG30" s="11">
        <v>1670254.31</v>
      </c>
      <c r="BH30" s="11">
        <v>462792.68000000005</v>
      </c>
      <c r="BI30" s="11"/>
      <c r="BJ30" s="11">
        <v>1670254.31</v>
      </c>
      <c r="BK30" s="11">
        <v>462792.68000000005</v>
      </c>
      <c r="BM30" t="s">
        <v>48</v>
      </c>
      <c r="BN30" s="9">
        <v>0.14499999999999999</v>
      </c>
      <c r="BO30" s="9">
        <v>0.126</v>
      </c>
      <c r="BP30" s="9"/>
      <c r="BQ30" s="72">
        <v>0.14499999999999999</v>
      </c>
      <c r="BR30" s="72">
        <v>0.126</v>
      </c>
      <c r="BS30" s="10">
        <v>276002.04510908987</v>
      </c>
      <c r="BT30" s="11">
        <v>2133046.9900000002</v>
      </c>
      <c r="BU30" s="22">
        <v>0.12939332626192629</v>
      </c>
      <c r="BV30" s="11">
        <v>2133046.9900000002</v>
      </c>
      <c r="BW30" s="10">
        <v>276002.04510908987</v>
      </c>
    </row>
    <row r="31" spans="1:78">
      <c r="A31" t="str">
        <v>6ii</v>
      </c>
      <c r="B31" t="str">
        <v>D_6ii</v>
      </c>
      <c r="C31" t="str">
        <v>direct</v>
      </c>
      <c r="D31" s="10">
        <v>4988704</v>
      </c>
      <c r="E31" s="10">
        <v>5188252.16</v>
      </c>
      <c r="F31" s="10">
        <v>2900</v>
      </c>
      <c r="G31" s="10">
        <v>0</v>
      </c>
      <c r="H31" s="10">
        <v>0</v>
      </c>
      <c r="I31" s="10">
        <v>2195029.7600000002</v>
      </c>
      <c r="J31" s="10">
        <v>0</v>
      </c>
      <c r="K31" s="10">
        <v>4988704</v>
      </c>
      <c r="L31" s="10">
        <v>5188252.16</v>
      </c>
      <c r="M31" s="10">
        <v>2900</v>
      </c>
      <c r="N31" s="10">
        <v>0</v>
      </c>
      <c r="O31" s="10">
        <v>0</v>
      </c>
      <c r="P31" s="10">
        <v>2195029.7600000002</v>
      </c>
      <c r="Q31" s="10">
        <v>0</v>
      </c>
      <c r="S31" t="str">
        <v>D_6ii</v>
      </c>
      <c r="T31" t="str">
        <v>D</v>
      </c>
      <c r="U31" t="str">
        <v>6ii</v>
      </c>
      <c r="W31" s="10">
        <v>4988704</v>
      </c>
      <c r="X31" s="10">
        <v>5188252.16</v>
      </c>
      <c r="Y31" s="10">
        <v>2900</v>
      </c>
      <c r="Z31" s="10">
        <v>0</v>
      </c>
      <c r="AA31" s="10">
        <v>0</v>
      </c>
      <c r="AB31" s="10">
        <v>2195029.7600000002</v>
      </c>
      <c r="AC31" s="10">
        <v>0</v>
      </c>
      <c r="AD31" s="10">
        <v>4988704</v>
      </c>
      <c r="AE31" s="10">
        <v>5188252.16</v>
      </c>
      <c r="AF31" s="10">
        <v>2900</v>
      </c>
      <c r="AG31" s="10">
        <v>0</v>
      </c>
      <c r="AH31" s="10">
        <v>0</v>
      </c>
      <c r="AI31" s="10">
        <v>2195029.7600000002</v>
      </c>
      <c r="AJ31" s="10">
        <v>0</v>
      </c>
      <c r="AL31" s="10">
        <v>4988704</v>
      </c>
      <c r="AM31" s="10">
        <v>5188252.16</v>
      </c>
      <c r="AN31" s="10">
        <v>2900</v>
      </c>
      <c r="AO31" s="10">
        <v>0</v>
      </c>
      <c r="AP31" s="10">
        <v>0</v>
      </c>
      <c r="AQ31" s="10">
        <v>2195029.7600000002</v>
      </c>
      <c r="AR31" s="10">
        <v>0</v>
      </c>
      <c r="AS31" s="10">
        <v>4988704</v>
      </c>
      <c r="AT31" s="10">
        <v>5188252.16</v>
      </c>
      <c r="AU31" s="10">
        <v>2900</v>
      </c>
      <c r="AV31" s="10">
        <v>0</v>
      </c>
      <c r="AW31" s="10">
        <v>0</v>
      </c>
      <c r="AX31" s="10">
        <v>2195029.7600000002</v>
      </c>
      <c r="AY31" s="10">
        <v>0</v>
      </c>
      <c r="BA31" s="11">
        <v>5188252.16</v>
      </c>
      <c r="BB31" s="11">
        <v>2195029.7600000002</v>
      </c>
      <c r="BC31" s="11">
        <v>5188252.16</v>
      </c>
      <c r="BD31" s="11">
        <v>2195029.7600000002</v>
      </c>
      <c r="BE31" s="11">
        <v>5188252.16</v>
      </c>
      <c r="BF31" s="11">
        <v>2195029.7600000002</v>
      </c>
      <c r="BG31" s="11">
        <v>5188252.16</v>
      </c>
      <c r="BH31" s="11">
        <v>2195029.7600000002</v>
      </c>
      <c r="BI31" s="11"/>
      <c r="BJ31" s="11">
        <v>5188252.16</v>
      </c>
      <c r="BK31" s="11">
        <v>2195029.7600000002</v>
      </c>
      <c r="BM31" t="s">
        <v>49</v>
      </c>
      <c r="BN31" s="9">
        <v>0.14499999999999999</v>
      </c>
      <c r="BO31" s="9">
        <v>0.126</v>
      </c>
      <c r="BP31" s="9"/>
      <c r="BQ31" s="72">
        <v>0.14499999999999999</v>
      </c>
      <c r="BR31" s="72">
        <v>0.126</v>
      </c>
      <c r="BS31" s="10">
        <v>922230.25295997725</v>
      </c>
      <c r="BT31" s="11">
        <v>7383281.9199999999</v>
      </c>
      <c r="BU31" s="22">
        <v>0.12490790179118302</v>
      </c>
      <c r="BV31" s="11">
        <v>7383281.9199999999</v>
      </c>
      <c r="BW31" s="10">
        <v>922230.25295997725</v>
      </c>
    </row>
    <row r="32" spans="1:78">
      <c r="A32" t="str">
        <v>7i</v>
      </c>
      <c r="B32" t="str">
        <v>D_7i</v>
      </c>
      <c r="C32" t="str">
        <v>direct</v>
      </c>
      <c r="D32" s="10">
        <v>1559022.3</v>
      </c>
      <c r="E32" s="10">
        <v>1512251.6310000001</v>
      </c>
      <c r="F32" s="10">
        <v>1595.0000000000002</v>
      </c>
      <c r="G32" s="10">
        <v>0</v>
      </c>
      <c r="H32" s="10">
        <v>0</v>
      </c>
      <c r="I32" s="10">
        <v>670379.58900000004</v>
      </c>
      <c r="J32" s="10">
        <v>0</v>
      </c>
      <c r="K32" s="10">
        <v>1559022.3</v>
      </c>
      <c r="L32" s="10">
        <v>1512251.6310000001</v>
      </c>
      <c r="M32" s="10">
        <v>1595.0000000000002</v>
      </c>
      <c r="N32" s="10">
        <v>0</v>
      </c>
      <c r="O32" s="10">
        <v>0</v>
      </c>
      <c r="P32" s="10">
        <v>670379.58900000004</v>
      </c>
      <c r="Q32" s="10">
        <v>0</v>
      </c>
      <c r="S32" t="str">
        <v>D_7i</v>
      </c>
      <c r="T32" t="str">
        <v>D</v>
      </c>
      <c r="U32" t="str">
        <v>7i</v>
      </c>
      <c r="W32" s="10">
        <v>2834586</v>
      </c>
      <c r="X32" s="10">
        <v>2749548.42</v>
      </c>
      <c r="Y32" s="10">
        <v>2900</v>
      </c>
      <c r="Z32" s="10">
        <v>0</v>
      </c>
      <c r="AA32" s="10">
        <v>0</v>
      </c>
      <c r="AB32" s="10">
        <v>1218871.98</v>
      </c>
      <c r="AC32" s="10">
        <v>0</v>
      </c>
      <c r="AD32" s="10">
        <v>1417293</v>
      </c>
      <c r="AE32" s="10">
        <v>1374774.21</v>
      </c>
      <c r="AF32" s="10">
        <v>1450</v>
      </c>
      <c r="AG32" s="10">
        <v>0</v>
      </c>
      <c r="AH32" s="10">
        <v>0</v>
      </c>
      <c r="AI32" s="10">
        <v>609435.99</v>
      </c>
      <c r="AJ32" s="10">
        <v>0</v>
      </c>
      <c r="AL32" s="10">
        <v>1559022.3</v>
      </c>
      <c r="AM32" s="10">
        <v>1512251.6310000001</v>
      </c>
      <c r="AN32" s="10">
        <v>1595.0000000000002</v>
      </c>
      <c r="AO32" s="10">
        <v>0</v>
      </c>
      <c r="AP32" s="10">
        <v>0</v>
      </c>
      <c r="AQ32" s="10">
        <v>670379.58900000004</v>
      </c>
      <c r="AR32" s="10">
        <v>0</v>
      </c>
      <c r="AS32" s="10">
        <v>1559022.3</v>
      </c>
      <c r="AT32" s="10">
        <v>1512251.6310000001</v>
      </c>
      <c r="AU32" s="10">
        <v>1595.0000000000002</v>
      </c>
      <c r="AV32" s="10">
        <v>0</v>
      </c>
      <c r="AW32" s="10">
        <v>0</v>
      </c>
      <c r="AX32" s="10">
        <v>670379.58900000004</v>
      </c>
      <c r="AY32" s="10">
        <v>0</v>
      </c>
      <c r="BA32" s="11">
        <v>2834586</v>
      </c>
      <c r="BB32" s="11">
        <v>1218871.98</v>
      </c>
      <c r="BC32" s="11">
        <v>1417293</v>
      </c>
      <c r="BD32" s="11">
        <v>609435.99</v>
      </c>
      <c r="BE32" s="11">
        <v>1559022.3</v>
      </c>
      <c r="BF32" s="11">
        <v>670379.58900000004</v>
      </c>
      <c r="BG32" s="11">
        <v>1559022.3</v>
      </c>
      <c r="BH32" s="11">
        <v>670379.58900000004</v>
      </c>
      <c r="BI32" s="11"/>
      <c r="BJ32" s="11">
        <v>1559022.3</v>
      </c>
      <c r="BK32" s="11">
        <v>670379.58900000004</v>
      </c>
      <c r="BM32" t="s">
        <v>50</v>
      </c>
      <c r="BN32" s="9">
        <v>0.14599999999999999</v>
      </c>
      <c r="BO32" s="9">
        <v>0.107</v>
      </c>
      <c r="BP32" s="9"/>
      <c r="BQ32" s="72">
        <v>0.14599999999999999</v>
      </c>
      <c r="BR32" s="72">
        <v>0.107</v>
      </c>
      <c r="BS32" s="10">
        <v>270706.52446692239</v>
      </c>
      <c r="BT32" s="11">
        <v>2229401.889</v>
      </c>
      <c r="BU32" s="22">
        <v>0.12142562801377549</v>
      </c>
      <c r="BV32" s="11">
        <v>2229401.889</v>
      </c>
      <c r="BW32" s="10">
        <v>270706.52446692239</v>
      </c>
    </row>
    <row r="33" spans="1:75">
      <c r="A33" t="str">
        <v>7ii</v>
      </c>
      <c r="B33" t="str">
        <v>D_7ii</v>
      </c>
      <c r="C33" t="str">
        <v>intermediated</v>
      </c>
      <c r="D33" s="10">
        <v>2687528</v>
      </c>
      <c r="E33" s="10">
        <v>2741278.56</v>
      </c>
      <c r="F33" s="10">
        <v>3500</v>
      </c>
      <c r="G33" s="10">
        <v>0</v>
      </c>
      <c r="H33" s="10">
        <v>0</v>
      </c>
      <c r="I33" s="10">
        <v>940634.79999999993</v>
      </c>
      <c r="J33" s="10">
        <v>0</v>
      </c>
      <c r="K33" s="10">
        <v>2687528</v>
      </c>
      <c r="L33" s="10">
        <v>2741278.56</v>
      </c>
      <c r="M33" s="10">
        <v>3500</v>
      </c>
      <c r="N33" s="10">
        <v>0</v>
      </c>
      <c r="O33" s="10">
        <v>0</v>
      </c>
      <c r="P33" s="10">
        <v>940634.79999999993</v>
      </c>
      <c r="Q33" s="10">
        <v>0</v>
      </c>
      <c r="S33" t="str">
        <v>D_7ii</v>
      </c>
      <c r="T33" t="str">
        <v>D</v>
      </c>
      <c r="U33" t="str">
        <v>7ii</v>
      </c>
      <c r="W33" s="10">
        <v>2687528</v>
      </c>
      <c r="X33" s="10">
        <v>2741278.56</v>
      </c>
      <c r="Y33" s="10">
        <v>3500</v>
      </c>
      <c r="Z33" s="10">
        <v>0</v>
      </c>
      <c r="AA33" s="10">
        <v>0</v>
      </c>
      <c r="AB33" s="10">
        <v>940634.79999999993</v>
      </c>
      <c r="AC33" s="10">
        <v>0</v>
      </c>
      <c r="AD33" s="10">
        <v>2687528</v>
      </c>
      <c r="AE33" s="10">
        <v>2741278.56</v>
      </c>
      <c r="AF33" s="10">
        <v>3500</v>
      </c>
      <c r="AG33" s="10">
        <v>0</v>
      </c>
      <c r="AH33" s="10">
        <v>0</v>
      </c>
      <c r="AI33" s="10">
        <v>940634.79999999993</v>
      </c>
      <c r="AJ33" s="10">
        <v>0</v>
      </c>
      <c r="AL33" s="10">
        <v>2687528</v>
      </c>
      <c r="AM33" s="10">
        <v>2741278.56</v>
      </c>
      <c r="AN33" s="10">
        <v>3500</v>
      </c>
      <c r="AO33" s="10">
        <v>0</v>
      </c>
      <c r="AP33" s="10">
        <v>0</v>
      </c>
      <c r="AQ33" s="10">
        <v>940634.79999999993</v>
      </c>
      <c r="AR33" s="10">
        <v>0</v>
      </c>
      <c r="AS33" s="10">
        <v>2687528</v>
      </c>
      <c r="AT33" s="10">
        <v>2741278.56</v>
      </c>
      <c r="AU33" s="10">
        <v>3500</v>
      </c>
      <c r="AV33" s="10">
        <v>0</v>
      </c>
      <c r="AW33" s="10">
        <v>0</v>
      </c>
      <c r="AX33" s="10">
        <v>940634.79999999993</v>
      </c>
      <c r="AY33" s="10">
        <v>0</v>
      </c>
      <c r="BA33" s="11">
        <v>2741278.56</v>
      </c>
      <c r="BB33" s="11">
        <v>940634.79999999993</v>
      </c>
      <c r="BC33" s="11">
        <v>2741278.56</v>
      </c>
      <c r="BD33" s="11">
        <v>940634.79999999993</v>
      </c>
      <c r="BE33" s="11">
        <v>2741278.56</v>
      </c>
      <c r="BF33" s="11">
        <v>940634.79999999993</v>
      </c>
      <c r="BG33" s="11">
        <v>2741278.56</v>
      </c>
      <c r="BH33" s="11">
        <v>940634.79999999993</v>
      </c>
      <c r="BI33" s="11"/>
      <c r="BJ33" s="11">
        <v>2741278.56</v>
      </c>
      <c r="BK33" s="11">
        <v>940634.79999999993</v>
      </c>
      <c r="BM33" t="s">
        <v>51</v>
      </c>
      <c r="BN33" s="9">
        <v>0.14599999999999999</v>
      </c>
      <c r="BO33" s="9">
        <v>0.107</v>
      </c>
      <c r="BP33" s="9"/>
      <c r="BQ33" s="72">
        <v>0.14599999999999999</v>
      </c>
      <c r="BR33" s="72">
        <v>0.107</v>
      </c>
      <c r="BS33" s="10">
        <v>458904.53799549461</v>
      </c>
      <c r="BT33" s="11">
        <v>3681913.36</v>
      </c>
      <c r="BU33" s="22">
        <v>0.12463751672730687</v>
      </c>
      <c r="BV33" s="11">
        <v>3681913.36</v>
      </c>
      <c r="BW33" s="10">
        <v>458904.53799549461</v>
      </c>
    </row>
    <row r="34" spans="1:75">
      <c r="A34" t="str">
        <v>8i</v>
      </c>
      <c r="B34" t="str">
        <v>P_8i</v>
      </c>
      <c r="C34" t="str">
        <v>specialised</v>
      </c>
      <c r="D34" s="10">
        <v>-3598</v>
      </c>
      <c r="E34" s="10">
        <v>3054866.44</v>
      </c>
      <c r="F34" s="10">
        <v>2100</v>
      </c>
      <c r="G34" s="10">
        <v>-4587</v>
      </c>
      <c r="H34" s="10">
        <v>0</v>
      </c>
      <c r="I34" s="10">
        <v>896536.89</v>
      </c>
      <c r="J34" s="10">
        <v>0</v>
      </c>
      <c r="K34" s="10">
        <v>-3598</v>
      </c>
      <c r="L34" s="10">
        <v>3054866.44</v>
      </c>
      <c r="M34" s="10">
        <v>2100</v>
      </c>
      <c r="N34" s="10">
        <v>-4587</v>
      </c>
      <c r="O34" s="10">
        <v>0</v>
      </c>
      <c r="P34" s="10">
        <v>896536.89</v>
      </c>
      <c r="Q34" s="10">
        <v>0</v>
      </c>
      <c r="S34" t="str">
        <v>P_8i</v>
      </c>
      <c r="T34" t="str">
        <v>P</v>
      </c>
      <c r="U34" t="str">
        <v>8i</v>
      </c>
      <c r="W34" s="10">
        <v>-3598</v>
      </c>
      <c r="X34" s="10">
        <v>3054866.44</v>
      </c>
      <c r="Y34" s="10">
        <v>2100</v>
      </c>
      <c r="Z34" s="10">
        <v>-4587</v>
      </c>
      <c r="AA34" s="10">
        <v>0</v>
      </c>
      <c r="AB34" s="10">
        <v>896536.89</v>
      </c>
      <c r="AC34" s="10">
        <v>0</v>
      </c>
      <c r="AD34" s="10">
        <v>3320507</v>
      </c>
      <c r="AE34" s="10">
        <v>3054866.44</v>
      </c>
      <c r="AF34" s="10">
        <v>2100</v>
      </c>
      <c r="AG34" s="10">
        <v>0</v>
      </c>
      <c r="AH34" s="10">
        <v>0</v>
      </c>
      <c r="AI34" s="10">
        <v>896536.89</v>
      </c>
      <c r="AJ34" s="10">
        <v>0</v>
      </c>
      <c r="AL34" s="10">
        <v>-3598</v>
      </c>
      <c r="AM34" s="10">
        <v>3054866.44</v>
      </c>
      <c r="AN34" s="10">
        <v>2100</v>
      </c>
      <c r="AO34" s="10">
        <v>-4587</v>
      </c>
      <c r="AP34" s="10">
        <v>0</v>
      </c>
      <c r="AQ34" s="10">
        <v>896536.89</v>
      </c>
      <c r="AR34" s="10">
        <v>0</v>
      </c>
      <c r="AS34" s="10">
        <v>-3598</v>
      </c>
      <c r="AT34" s="10">
        <v>3054866.44</v>
      </c>
      <c r="AU34" s="10">
        <v>2100</v>
      </c>
      <c r="AV34" s="10">
        <v>-4587</v>
      </c>
      <c r="AW34" s="10">
        <v>0</v>
      </c>
      <c r="AX34" s="10">
        <v>896536.89</v>
      </c>
      <c r="AY34" s="10">
        <v>0</v>
      </c>
      <c r="BA34" s="11">
        <v>3050279.44</v>
      </c>
      <c r="BB34" s="11">
        <v>896536.89</v>
      </c>
      <c r="BC34" s="11">
        <v>3320507</v>
      </c>
      <c r="BD34" s="11">
        <v>896536.89</v>
      </c>
      <c r="BE34" s="11">
        <v>3050279.44</v>
      </c>
      <c r="BF34" s="11">
        <v>896536.89</v>
      </c>
      <c r="BG34" s="11">
        <v>3050279.44</v>
      </c>
      <c r="BH34" s="11">
        <v>896536.89</v>
      </c>
      <c r="BI34" s="11"/>
      <c r="BJ34" s="11">
        <v>3050279.44</v>
      </c>
      <c r="BK34" s="11">
        <v>896536.89</v>
      </c>
      <c r="BM34" t="s">
        <v>52</v>
      </c>
      <c r="BN34" s="9">
        <v>0.14599999999999999</v>
      </c>
      <c r="BO34" s="9">
        <v>0.107</v>
      </c>
      <c r="BP34" s="9"/>
      <c r="BQ34" s="72">
        <v>0.14599999999999999</v>
      </c>
      <c r="BR34" s="72">
        <v>0.107</v>
      </c>
      <c r="BS34" s="10">
        <v>500252.11846330436</v>
      </c>
      <c r="BT34" s="11">
        <v>3946816.33</v>
      </c>
      <c r="BU34" s="22">
        <v>0.1267482640782791</v>
      </c>
      <c r="BV34" s="11">
        <v>3946816.33</v>
      </c>
      <c r="BW34" s="10">
        <v>500252.11846330436</v>
      </c>
    </row>
    <row r="35" spans="1:75">
      <c r="A35" t="str">
        <v>8ii</v>
      </c>
      <c r="B35" t="str">
        <v>D_8ii</v>
      </c>
      <c r="C35" t="str">
        <v>direct</v>
      </c>
      <c r="D35" s="10">
        <v>4552967</v>
      </c>
      <c r="E35" s="10">
        <v>5008263.7</v>
      </c>
      <c r="F35" s="10">
        <v>2000</v>
      </c>
      <c r="G35" s="10">
        <v>0</v>
      </c>
      <c r="H35" s="10">
        <v>0</v>
      </c>
      <c r="I35" s="10">
        <v>1320360.43</v>
      </c>
      <c r="J35" s="10">
        <v>0</v>
      </c>
      <c r="K35" s="10">
        <v>4552967</v>
      </c>
      <c r="L35" s="10">
        <v>5008263.7</v>
      </c>
      <c r="M35" s="10">
        <v>2000</v>
      </c>
      <c r="N35" s="10">
        <v>0</v>
      </c>
      <c r="O35" s="10">
        <v>0</v>
      </c>
      <c r="P35" s="10">
        <v>1320360.43</v>
      </c>
      <c r="Q35" s="10">
        <v>0</v>
      </c>
      <c r="S35" t="str">
        <v>D_8ii</v>
      </c>
      <c r="T35" t="str">
        <v>D</v>
      </c>
      <c r="U35" t="str">
        <v>8ii</v>
      </c>
      <c r="W35" s="10">
        <v>4552967</v>
      </c>
      <c r="X35" s="10">
        <v>5008263.7</v>
      </c>
      <c r="Y35" s="10">
        <v>2000</v>
      </c>
      <c r="Z35" s="10">
        <v>0</v>
      </c>
      <c r="AA35" s="10">
        <v>0</v>
      </c>
      <c r="AB35" s="10">
        <v>1320360.43</v>
      </c>
      <c r="AC35" s="10">
        <v>0</v>
      </c>
      <c r="AD35" s="10">
        <v>4552967</v>
      </c>
      <c r="AE35" s="10">
        <v>5008263.7</v>
      </c>
      <c r="AF35" s="10">
        <v>2000</v>
      </c>
      <c r="AG35" s="10">
        <v>0</v>
      </c>
      <c r="AH35" s="10">
        <v>0</v>
      </c>
      <c r="AI35" s="10">
        <v>1320360.43</v>
      </c>
      <c r="AJ35" s="10">
        <v>0</v>
      </c>
      <c r="AL35" s="10">
        <v>4552967</v>
      </c>
      <c r="AM35" s="10">
        <v>5008263.7</v>
      </c>
      <c r="AN35" s="10">
        <v>2000</v>
      </c>
      <c r="AO35" s="10">
        <v>0</v>
      </c>
      <c r="AP35" s="10">
        <v>0</v>
      </c>
      <c r="AQ35" s="10">
        <v>1320360.43</v>
      </c>
      <c r="AR35" s="10">
        <v>0</v>
      </c>
      <c r="AS35" s="10">
        <v>4552967</v>
      </c>
      <c r="AT35" s="10">
        <v>5008263.7</v>
      </c>
      <c r="AU35" s="10">
        <v>2000</v>
      </c>
      <c r="AV35" s="10">
        <v>0</v>
      </c>
      <c r="AW35" s="10">
        <v>0</v>
      </c>
      <c r="AX35" s="10">
        <v>1320360.43</v>
      </c>
      <c r="AY35" s="10">
        <v>0</v>
      </c>
      <c r="BA35" s="11">
        <v>5008263.7</v>
      </c>
      <c r="BB35" s="11">
        <v>1320360.43</v>
      </c>
      <c r="BC35" s="11">
        <v>5008263.7</v>
      </c>
      <c r="BD35" s="11">
        <v>1320360.43</v>
      </c>
      <c r="BE35" s="11">
        <v>5008263.7</v>
      </c>
      <c r="BF35" s="11">
        <v>1320360.43</v>
      </c>
      <c r="BG35" s="11">
        <v>5008263.7</v>
      </c>
      <c r="BH35" s="11">
        <v>1320360.43</v>
      </c>
      <c r="BI35" s="11"/>
      <c r="BJ35" s="11">
        <v>5008263.7</v>
      </c>
      <c r="BK35" s="11">
        <v>1320360.43</v>
      </c>
      <c r="BM35" t="s">
        <v>53</v>
      </c>
      <c r="BN35" s="9">
        <v>0.14599999999999999</v>
      </c>
      <c r="BO35" s="9">
        <v>0.107</v>
      </c>
      <c r="BP35" s="9"/>
      <c r="BQ35" s="72">
        <v>0.14599999999999999</v>
      </c>
      <c r="BR35" s="72">
        <v>0.107</v>
      </c>
      <c r="BS35" s="10">
        <v>811126.61462562147</v>
      </c>
      <c r="BT35" s="11">
        <v>6328624.1299999999</v>
      </c>
      <c r="BU35" s="22">
        <v>0.12816792370091687</v>
      </c>
      <c r="BV35" s="11">
        <v>6328624.1299999999</v>
      </c>
      <c r="BW35" s="10">
        <v>811126.61462562135</v>
      </c>
    </row>
    <row r="36" spans="1:75">
      <c r="A36" t="str">
        <v>9</v>
      </c>
      <c r="B36" t="str">
        <v>D_9</v>
      </c>
      <c r="C36" t="str">
        <v>specialised</v>
      </c>
      <c r="D36" s="10">
        <v>2453636.7599999998</v>
      </c>
      <c r="E36" s="10">
        <v>2330954.9219999998</v>
      </c>
      <c r="F36" s="10">
        <v>2494</v>
      </c>
      <c r="G36" s="10">
        <v>0</v>
      </c>
      <c r="H36" s="10">
        <v>0</v>
      </c>
      <c r="I36" s="10">
        <v>834236.49840000004</v>
      </c>
      <c r="J36" s="10">
        <v>0</v>
      </c>
      <c r="K36" s="10">
        <v>2453636.7599999998</v>
      </c>
      <c r="L36" s="10">
        <v>2330954.9219999998</v>
      </c>
      <c r="M36" s="10">
        <v>2494</v>
      </c>
      <c r="N36" s="10">
        <v>0</v>
      </c>
      <c r="O36" s="10">
        <v>0</v>
      </c>
      <c r="P36" s="10">
        <v>834236.49840000004</v>
      </c>
      <c r="Q36" s="10">
        <v>0</v>
      </c>
      <c r="S36" t="str">
        <v>D_9</v>
      </c>
      <c r="T36" t="str">
        <v>D</v>
      </c>
      <c r="U36" t="str">
        <v>9</v>
      </c>
      <c r="W36" s="10">
        <v>2853066</v>
      </c>
      <c r="X36" s="10">
        <v>2710412.6999999997</v>
      </c>
      <c r="Y36" s="10">
        <v>2900</v>
      </c>
      <c r="Z36" s="10">
        <v>0</v>
      </c>
      <c r="AA36" s="10">
        <v>0</v>
      </c>
      <c r="AB36" s="10">
        <v>970042.44000000006</v>
      </c>
      <c r="AC36" s="10">
        <v>0</v>
      </c>
      <c r="AD36" s="10">
        <v>2425106.1</v>
      </c>
      <c r="AE36" s="10">
        <v>2303850.7949999999</v>
      </c>
      <c r="AF36" s="10">
        <v>2465</v>
      </c>
      <c r="AG36" s="10">
        <v>0</v>
      </c>
      <c r="AH36" s="10">
        <v>0</v>
      </c>
      <c r="AI36" s="10">
        <v>824536.07400000002</v>
      </c>
      <c r="AJ36" s="10">
        <v>0</v>
      </c>
      <c r="AL36" s="10">
        <v>2453636.7599999998</v>
      </c>
      <c r="AM36" s="10">
        <v>2330954.9219999998</v>
      </c>
      <c r="AN36" s="10">
        <v>2494</v>
      </c>
      <c r="AO36" s="10">
        <v>0</v>
      </c>
      <c r="AP36" s="10">
        <v>0</v>
      </c>
      <c r="AQ36" s="10">
        <v>834236.49840000004</v>
      </c>
      <c r="AR36" s="10">
        <v>0</v>
      </c>
      <c r="AS36" s="10">
        <v>2453636.7599999998</v>
      </c>
      <c r="AT36" s="10">
        <v>2330954.9219999998</v>
      </c>
      <c r="AU36" s="10">
        <v>2494</v>
      </c>
      <c r="AV36" s="10">
        <v>0</v>
      </c>
      <c r="AW36" s="10">
        <v>0</v>
      </c>
      <c r="AX36" s="10">
        <v>834236.49840000004</v>
      </c>
      <c r="AY36" s="10">
        <v>0</v>
      </c>
      <c r="BA36" s="11">
        <v>2853066</v>
      </c>
      <c r="BB36" s="11">
        <v>970042.44000000006</v>
      </c>
      <c r="BC36" s="11">
        <v>2425106.1</v>
      </c>
      <c r="BD36" s="11">
        <v>824536.07400000002</v>
      </c>
      <c r="BE36" s="11">
        <v>2453636.7599999998</v>
      </c>
      <c r="BF36" s="11">
        <v>834236.49840000004</v>
      </c>
      <c r="BG36" s="11">
        <v>2453636.7599999998</v>
      </c>
      <c r="BH36" s="11">
        <v>834236.49840000004</v>
      </c>
      <c r="BI36" s="11"/>
      <c r="BJ36" s="11">
        <v>2453636.7599999998</v>
      </c>
      <c r="BK36" s="11">
        <v>834236.49840000004</v>
      </c>
      <c r="BM36" s="57" t="s">
        <v>73</v>
      </c>
      <c r="BN36" s="9">
        <v>6.9000000000000006E-2</v>
      </c>
      <c r="BO36" s="9">
        <v>0.13</v>
      </c>
      <c r="BP36" s="9"/>
      <c r="BQ36" s="72">
        <v>6.9000000000000006E-2</v>
      </c>
      <c r="BR36" s="72">
        <v>0.13</v>
      </c>
      <c r="BS36" s="10">
        <v>242456.56059653548</v>
      </c>
      <c r="BT36" s="11">
        <v>3287873.2583999997</v>
      </c>
      <c r="BU36" s="22">
        <v>7.3742672402927048E-2</v>
      </c>
      <c r="BV36" s="11">
        <v>3287873.2583999997</v>
      </c>
      <c r="BW36" s="10">
        <v>242456.56059653548</v>
      </c>
    </row>
    <row r="37" spans="1:75">
      <c r="A37" t="str">
        <v>9a</v>
      </c>
      <c r="B37" t="str">
        <v>P_9</v>
      </c>
      <c r="C37" t="str">
        <v>direct</v>
      </c>
      <c r="D37" s="10">
        <v>1392662</v>
      </c>
      <c r="E37" s="10">
        <v>1309102.28</v>
      </c>
      <c r="F37" s="10">
        <v>2900</v>
      </c>
      <c r="G37" s="10">
        <v>0</v>
      </c>
      <c r="H37" s="10">
        <v>0</v>
      </c>
      <c r="I37" s="10">
        <v>431725.22</v>
      </c>
      <c r="J37" s="10">
        <v>0</v>
      </c>
      <c r="K37" s="10">
        <v>1392662</v>
      </c>
      <c r="L37" s="10">
        <v>1309102.28</v>
      </c>
      <c r="M37" s="10">
        <v>2900</v>
      </c>
      <c r="N37" s="10">
        <v>0</v>
      </c>
      <c r="O37" s="10">
        <v>0</v>
      </c>
      <c r="P37" s="10">
        <v>431725.22</v>
      </c>
      <c r="Q37" s="10">
        <v>0</v>
      </c>
      <c r="S37" t="str">
        <v>P_9</v>
      </c>
      <c r="T37" t="str">
        <v>P</v>
      </c>
      <c r="U37" t="str">
        <v>9</v>
      </c>
      <c r="W37" s="10">
        <v>1392662</v>
      </c>
      <c r="X37" s="10">
        <v>1309102.28</v>
      </c>
      <c r="Y37" s="10">
        <v>2900</v>
      </c>
      <c r="Z37" s="10">
        <v>0</v>
      </c>
      <c r="AA37" s="10">
        <v>0</v>
      </c>
      <c r="AB37" s="10">
        <v>431725.22</v>
      </c>
      <c r="AC37" s="10">
        <v>0</v>
      </c>
      <c r="AD37" s="10">
        <v>1392662</v>
      </c>
      <c r="AE37" s="10">
        <v>1309102.28</v>
      </c>
      <c r="AF37" s="10">
        <v>2900</v>
      </c>
      <c r="AG37" s="10">
        <v>0</v>
      </c>
      <c r="AH37" s="10">
        <v>0</v>
      </c>
      <c r="AI37" s="10">
        <v>431725.22</v>
      </c>
      <c r="AJ37" s="10">
        <v>0</v>
      </c>
      <c r="AL37" s="10">
        <v>1392662</v>
      </c>
      <c r="AM37" s="10">
        <v>1309102.28</v>
      </c>
      <c r="AN37" s="10">
        <v>2900</v>
      </c>
      <c r="AO37" s="10">
        <v>0</v>
      </c>
      <c r="AP37" s="10">
        <v>0</v>
      </c>
      <c r="AQ37" s="10">
        <v>431725.22</v>
      </c>
      <c r="AR37" s="10">
        <v>0</v>
      </c>
      <c r="AS37" s="10">
        <v>1392662</v>
      </c>
      <c r="AT37" s="10">
        <v>1309102.28</v>
      </c>
      <c r="AU37" s="10">
        <v>2900</v>
      </c>
      <c r="AV37" s="10">
        <v>0</v>
      </c>
      <c r="AW37" s="10">
        <v>0</v>
      </c>
      <c r="AX37" s="10">
        <v>431725.22</v>
      </c>
      <c r="AY37" s="10">
        <v>0</v>
      </c>
      <c r="BA37" s="11">
        <v>1392662</v>
      </c>
      <c r="BB37" s="11">
        <v>431725.22</v>
      </c>
      <c r="BC37" s="11">
        <v>1392662</v>
      </c>
      <c r="BD37" s="11">
        <v>431725.22</v>
      </c>
      <c r="BE37" s="11">
        <v>1392662</v>
      </c>
      <c r="BF37" s="11">
        <v>431725.22</v>
      </c>
      <c r="BG37" s="11">
        <v>1392662</v>
      </c>
      <c r="BH37" s="11">
        <v>431725.22</v>
      </c>
      <c r="BI37" s="11"/>
      <c r="BJ37" s="11">
        <v>1392662</v>
      </c>
      <c r="BK37" s="11">
        <v>431725.22</v>
      </c>
      <c r="BM37" t="s">
        <v>54</v>
      </c>
      <c r="BN37" s="9">
        <v>0.128</v>
      </c>
      <c r="BO37" s="9">
        <v>0.10100000000000001</v>
      </c>
      <c r="BP37" s="9"/>
      <c r="BQ37" s="72">
        <v>6.9000000000000006E-2</v>
      </c>
      <c r="BR37" s="72">
        <v>0.13</v>
      </c>
      <c r="BS37" s="10">
        <v>133330.85897761551</v>
      </c>
      <c r="BT37" s="11">
        <v>1824387.22</v>
      </c>
      <c r="BU37" s="22">
        <v>7.3082543834973535E-2</v>
      </c>
      <c r="BV37" s="11">
        <v>1824387.22</v>
      </c>
      <c r="BW37" s="10">
        <v>133330.85897761551</v>
      </c>
    </row>
    <row r="38" spans="1:75">
      <c r="A38" t="str">
        <v>10ii</v>
      </c>
      <c r="B38" t="str">
        <v>D_10ii</v>
      </c>
      <c r="C38" t="str">
        <v>intermediated</v>
      </c>
      <c r="D38" s="10">
        <v>2479467.6500000004</v>
      </c>
      <c r="E38" s="10">
        <v>2801798.4444999998</v>
      </c>
      <c r="F38" s="10">
        <v>1925.0000000000002</v>
      </c>
      <c r="G38" s="10">
        <v>0</v>
      </c>
      <c r="H38" s="10">
        <v>0</v>
      </c>
      <c r="I38" s="10">
        <v>966992.38350000011</v>
      </c>
      <c r="J38" s="10">
        <v>0</v>
      </c>
      <c r="K38" s="10">
        <v>2479467.6500000004</v>
      </c>
      <c r="L38" s="10">
        <v>2801798.4444999998</v>
      </c>
      <c r="M38" s="10">
        <v>1925.0000000000002</v>
      </c>
      <c r="N38" s="10">
        <v>0</v>
      </c>
      <c r="O38" s="10">
        <v>0</v>
      </c>
      <c r="P38" s="10">
        <v>966992.38350000011</v>
      </c>
      <c r="Q38" s="10">
        <v>0</v>
      </c>
      <c r="S38" t="str">
        <v>D_10ii</v>
      </c>
      <c r="T38" t="str">
        <v>D</v>
      </c>
      <c r="U38" t="str">
        <v>10ii</v>
      </c>
      <c r="W38" s="10">
        <v>4508123</v>
      </c>
      <c r="X38" s="10">
        <v>5094178.9899999993</v>
      </c>
      <c r="Y38" s="10">
        <v>3500</v>
      </c>
      <c r="Z38" s="10">
        <v>0</v>
      </c>
      <c r="AA38" s="10">
        <v>0</v>
      </c>
      <c r="AB38" s="10">
        <v>1758167.97</v>
      </c>
      <c r="AC38" s="10">
        <v>0</v>
      </c>
      <c r="AD38" s="10">
        <v>2254061.5</v>
      </c>
      <c r="AE38" s="10">
        <v>2547089.4949999996</v>
      </c>
      <c r="AF38" s="10">
        <v>1750</v>
      </c>
      <c r="AG38" s="10">
        <v>0</v>
      </c>
      <c r="AH38" s="10">
        <v>0</v>
      </c>
      <c r="AI38" s="10">
        <v>879083.98499999999</v>
      </c>
      <c r="AJ38" s="10">
        <v>0</v>
      </c>
      <c r="AL38" s="10">
        <v>2479467.6500000004</v>
      </c>
      <c r="AM38" s="10">
        <v>2801798.4444999998</v>
      </c>
      <c r="AN38" s="10">
        <v>1925.0000000000002</v>
      </c>
      <c r="AO38" s="10">
        <v>0</v>
      </c>
      <c r="AP38" s="10">
        <v>0</v>
      </c>
      <c r="AQ38" s="10">
        <v>966992.38350000011</v>
      </c>
      <c r="AR38" s="10">
        <v>0</v>
      </c>
      <c r="AS38" s="10">
        <v>2479467.6500000004</v>
      </c>
      <c r="AT38" s="10">
        <v>2801798.4444999998</v>
      </c>
      <c r="AU38" s="10">
        <v>1925.0000000000002</v>
      </c>
      <c r="AV38" s="10">
        <v>0</v>
      </c>
      <c r="AW38" s="10">
        <v>0</v>
      </c>
      <c r="AX38" s="10">
        <v>966992.38350000011</v>
      </c>
      <c r="AY38" s="10">
        <v>0</v>
      </c>
      <c r="BA38" s="11">
        <v>5094178.9899999993</v>
      </c>
      <c r="BB38" s="11">
        <v>1758167.97</v>
      </c>
      <c r="BC38" s="11">
        <v>2547089.4949999996</v>
      </c>
      <c r="BD38" s="11">
        <v>879083.98499999999</v>
      </c>
      <c r="BE38" s="11">
        <v>2801798.4444999998</v>
      </c>
      <c r="BF38" s="11">
        <v>966992.38350000011</v>
      </c>
      <c r="BG38" s="11">
        <v>2801798.4444999998</v>
      </c>
      <c r="BH38" s="11">
        <v>966992.38350000011</v>
      </c>
      <c r="BI38" s="11"/>
      <c r="BJ38" s="11">
        <v>2801798.4444999998</v>
      </c>
      <c r="BK38" s="11">
        <v>966992.38350000011</v>
      </c>
      <c r="BM38" t="s">
        <v>55</v>
      </c>
      <c r="BN38" s="9">
        <v>0.128</v>
      </c>
      <c r="BO38" s="9">
        <v>0.10100000000000001</v>
      </c>
      <c r="BP38" s="9"/>
      <c r="BQ38" s="72">
        <v>0.128</v>
      </c>
      <c r="BR38" s="72">
        <v>0.10100000000000001</v>
      </c>
      <c r="BS38" s="10">
        <v>416149.46061373764</v>
      </c>
      <c r="BT38" s="11">
        <v>3768790.8279999997</v>
      </c>
      <c r="BU38" s="22">
        <v>0.11041988786482412</v>
      </c>
      <c r="BV38" s="11">
        <v>3768790.8279999997</v>
      </c>
      <c r="BW38" s="10">
        <v>416149.46061373764</v>
      </c>
    </row>
    <row r="39" spans="1:75">
      <c r="A39" t="str">
        <v>10iii</v>
      </c>
      <c r="B39" t="str">
        <v>D_10iii</v>
      </c>
      <c r="C39" t="str">
        <v>specialised</v>
      </c>
      <c r="D39" s="10">
        <v>-25189</v>
      </c>
      <c r="E39" s="10">
        <v>-12058941</v>
      </c>
      <c r="F39" s="10">
        <v>2100</v>
      </c>
      <c r="G39" s="10">
        <v>59321</v>
      </c>
      <c r="H39" s="10">
        <v>45236</v>
      </c>
      <c r="I39" s="10">
        <v>855570.69000000006</v>
      </c>
      <c r="J39" s="10">
        <v>0</v>
      </c>
      <c r="K39" s="10">
        <v>-25189</v>
      </c>
      <c r="L39" s="10">
        <v>-12058941</v>
      </c>
      <c r="M39" s="10">
        <v>2100</v>
      </c>
      <c r="N39" s="10">
        <v>59321</v>
      </c>
      <c r="O39" s="10">
        <v>45236</v>
      </c>
      <c r="P39" s="10">
        <v>855570.69000000006</v>
      </c>
      <c r="Q39" s="10">
        <v>0</v>
      </c>
      <c r="S39" t="str">
        <v>D_10iii</v>
      </c>
      <c r="T39" t="str">
        <v>D</v>
      </c>
      <c r="U39" t="str">
        <v>10iii</v>
      </c>
      <c r="W39" s="10">
        <v>-25189</v>
      </c>
      <c r="X39" s="10">
        <v>-12058941</v>
      </c>
      <c r="Y39" s="10">
        <v>2100</v>
      </c>
      <c r="Z39" s="10">
        <v>59321</v>
      </c>
      <c r="AA39" s="10">
        <v>45236</v>
      </c>
      <c r="AB39" s="10">
        <v>855570.69000000006</v>
      </c>
      <c r="AC39" s="10">
        <v>0</v>
      </c>
      <c r="AD39" s="10">
        <v>2193771</v>
      </c>
      <c r="AE39" s="10">
        <v>2084082.45</v>
      </c>
      <c r="AF39" s="10">
        <v>2100</v>
      </c>
      <c r="AG39" s="10">
        <v>0</v>
      </c>
      <c r="AH39" s="10">
        <v>0</v>
      </c>
      <c r="AI39" s="10">
        <v>855570.69000000006</v>
      </c>
      <c r="AJ39" s="10">
        <v>0</v>
      </c>
      <c r="AL39" s="10">
        <v>-25189</v>
      </c>
      <c r="AM39" s="10">
        <v>-12058941</v>
      </c>
      <c r="AN39" s="10">
        <v>2100</v>
      </c>
      <c r="AO39" s="10">
        <v>59321</v>
      </c>
      <c r="AP39" s="10">
        <v>45236</v>
      </c>
      <c r="AQ39" s="10">
        <v>855570.69000000006</v>
      </c>
      <c r="AR39" s="10">
        <v>0</v>
      </c>
      <c r="AS39" s="10">
        <v>-25189</v>
      </c>
      <c r="AT39" s="10">
        <v>-12058941</v>
      </c>
      <c r="AU39" s="10">
        <v>2100</v>
      </c>
      <c r="AV39" s="10">
        <v>59321</v>
      </c>
      <c r="AW39" s="10">
        <v>45236</v>
      </c>
      <c r="AX39" s="10">
        <v>855570.69000000006</v>
      </c>
      <c r="AY39" s="10">
        <v>0</v>
      </c>
      <c r="BA39" s="11">
        <v>79368</v>
      </c>
      <c r="BB39" s="11">
        <v>855570.69000000006</v>
      </c>
      <c r="BC39" s="11">
        <v>2193771</v>
      </c>
      <c r="BD39" s="11">
        <v>855570.69000000006</v>
      </c>
      <c r="BE39" s="11">
        <v>79368</v>
      </c>
      <c r="BF39" s="11">
        <v>855570.69000000006</v>
      </c>
      <c r="BG39" s="11">
        <v>79368</v>
      </c>
      <c r="BH39" s="11">
        <v>855570.69000000006</v>
      </c>
      <c r="BI39" s="11"/>
      <c r="BJ39" s="11">
        <v>79368</v>
      </c>
      <c r="BK39" s="11">
        <v>855570.69000000006</v>
      </c>
      <c r="BM39" t="s">
        <v>56</v>
      </c>
      <c r="BN39" s="9">
        <v>0.128</v>
      </c>
      <c r="BO39" s="9">
        <v>0.10100000000000001</v>
      </c>
      <c r="BP39" s="9"/>
      <c r="BQ39" s="72">
        <v>0.128</v>
      </c>
      <c r="BR39" s="72">
        <v>0.10100000000000001</v>
      </c>
      <c r="BS39" s="10">
        <v>91914.235490493098</v>
      </c>
      <c r="BT39" s="11">
        <v>934938.69000000006</v>
      </c>
      <c r="BU39" s="22">
        <v>9.8310441608201168E-2</v>
      </c>
      <c r="BV39" s="11">
        <v>934938.69000000006</v>
      </c>
      <c r="BW39" s="10">
        <v>91914.235490493098</v>
      </c>
    </row>
    <row r="40" spans="1:75">
      <c r="A40" t="str">
        <v>10iv</v>
      </c>
      <c r="B40" t="str">
        <v>D_10iv</v>
      </c>
      <c r="C40" t="str">
        <v>direct</v>
      </c>
      <c r="D40" s="10">
        <v>3224030</v>
      </c>
      <c r="E40" s="10">
        <v>3546433.0000000005</v>
      </c>
      <c r="F40" s="10">
        <v>2900</v>
      </c>
      <c r="G40" s="10">
        <v>0</v>
      </c>
      <c r="H40" s="10">
        <v>0</v>
      </c>
      <c r="I40" s="10">
        <v>1096170.2000000002</v>
      </c>
      <c r="J40" s="10">
        <v>0</v>
      </c>
      <c r="K40" s="10">
        <v>3224030</v>
      </c>
      <c r="L40" s="10">
        <v>3546433.0000000005</v>
      </c>
      <c r="M40" s="10">
        <v>2900</v>
      </c>
      <c r="N40" s="10">
        <v>0</v>
      </c>
      <c r="O40" s="10">
        <v>0</v>
      </c>
      <c r="P40" s="10">
        <v>1096170.2000000002</v>
      </c>
      <c r="Q40" s="10">
        <v>0</v>
      </c>
      <c r="S40" t="str">
        <v>D_10iv</v>
      </c>
      <c r="T40" t="str">
        <v>D</v>
      </c>
      <c r="U40" t="str">
        <v>10iv</v>
      </c>
      <c r="W40" s="10">
        <v>3224030</v>
      </c>
      <c r="X40" s="10">
        <v>3546433.0000000005</v>
      </c>
      <c r="Y40" s="10">
        <v>2900</v>
      </c>
      <c r="Z40" s="10">
        <v>0</v>
      </c>
      <c r="AA40" s="10">
        <v>0</v>
      </c>
      <c r="AB40" s="10">
        <v>1096170.2000000002</v>
      </c>
      <c r="AC40" s="10">
        <v>0</v>
      </c>
      <c r="AD40" s="10">
        <v>3224030</v>
      </c>
      <c r="AE40" s="10">
        <v>3546433.0000000005</v>
      </c>
      <c r="AF40" s="10">
        <v>2900</v>
      </c>
      <c r="AG40" s="10">
        <v>0</v>
      </c>
      <c r="AH40" s="10">
        <v>0</v>
      </c>
      <c r="AI40" s="10">
        <v>1096170.2000000002</v>
      </c>
      <c r="AJ40" s="10">
        <v>0</v>
      </c>
      <c r="AL40" s="10">
        <v>3224030</v>
      </c>
      <c r="AM40" s="10">
        <v>3546433.0000000005</v>
      </c>
      <c r="AN40" s="10">
        <v>2900</v>
      </c>
      <c r="AO40" s="10">
        <v>0</v>
      </c>
      <c r="AP40" s="10">
        <v>0</v>
      </c>
      <c r="AQ40" s="10">
        <v>1096170.2000000002</v>
      </c>
      <c r="AR40" s="10">
        <v>0</v>
      </c>
      <c r="AS40" s="10">
        <v>3224030</v>
      </c>
      <c r="AT40" s="10">
        <v>3546433.0000000005</v>
      </c>
      <c r="AU40" s="10">
        <v>2900</v>
      </c>
      <c r="AV40" s="10">
        <v>0</v>
      </c>
      <c r="AW40" s="10">
        <v>0</v>
      </c>
      <c r="AX40" s="10">
        <v>1096170.2000000002</v>
      </c>
      <c r="AY40" s="10">
        <v>0</v>
      </c>
      <c r="BA40" s="11">
        <v>3546433.0000000005</v>
      </c>
      <c r="BB40" s="11">
        <v>1096170.2000000002</v>
      </c>
      <c r="BC40" s="11">
        <v>3546433.0000000005</v>
      </c>
      <c r="BD40" s="11">
        <v>1096170.2000000002</v>
      </c>
      <c r="BE40" s="11">
        <v>3546433.0000000005</v>
      </c>
      <c r="BF40" s="11">
        <v>1096170.2000000002</v>
      </c>
      <c r="BG40" s="11">
        <v>3546433.0000000005</v>
      </c>
      <c r="BH40" s="11">
        <v>1096170.2000000002</v>
      </c>
      <c r="BI40" s="11"/>
      <c r="BJ40" s="11">
        <v>3546433.0000000005</v>
      </c>
      <c r="BK40" s="11">
        <v>1096170.2000000002</v>
      </c>
      <c r="BM40" t="s">
        <v>57</v>
      </c>
      <c r="BN40" s="9">
        <v>0.128</v>
      </c>
      <c r="BO40" s="9">
        <v>0.10100000000000001</v>
      </c>
      <c r="BP40" s="9"/>
      <c r="BQ40" s="72">
        <v>0.128</v>
      </c>
      <c r="BR40" s="72">
        <v>0.10100000000000001</v>
      </c>
      <c r="BS40" s="10">
        <v>518246.62788913201</v>
      </c>
      <c r="BT40" s="11">
        <v>4642603.2000000011</v>
      </c>
      <c r="BU40" s="22">
        <v>0.11162845618361955</v>
      </c>
      <c r="BV40" s="11">
        <v>4642603.2000000011</v>
      </c>
      <c r="BW40" s="10">
        <v>518246.62788913207</v>
      </c>
    </row>
    <row r="41" spans="1:75">
      <c r="A41" t="str">
        <v>10v</v>
      </c>
      <c r="B41" t="str">
        <v>D_10v</v>
      </c>
      <c r="C41" t="str">
        <v>direct</v>
      </c>
      <c r="D41" s="10">
        <v>1179993</v>
      </c>
      <c r="E41" s="10">
        <v>1262592.51</v>
      </c>
      <c r="F41" s="10">
        <v>2900</v>
      </c>
      <c r="G41" s="10">
        <v>0</v>
      </c>
      <c r="H41" s="10">
        <v>0</v>
      </c>
      <c r="I41" s="10">
        <v>401197.62000000005</v>
      </c>
      <c r="J41" s="10">
        <v>0</v>
      </c>
      <c r="K41" s="10">
        <v>1179993</v>
      </c>
      <c r="L41" s="10">
        <v>1262592.51</v>
      </c>
      <c r="M41" s="10">
        <v>2900</v>
      </c>
      <c r="N41" s="10">
        <v>0</v>
      </c>
      <c r="O41" s="10">
        <v>0</v>
      </c>
      <c r="P41" s="10">
        <v>401197.62000000005</v>
      </c>
      <c r="Q41" s="10">
        <v>0</v>
      </c>
      <c r="S41" t="str">
        <v>D_10v</v>
      </c>
      <c r="T41" t="str">
        <v>D</v>
      </c>
      <c r="U41" t="str">
        <v>10v</v>
      </c>
      <c r="W41" s="10">
        <v>1179993</v>
      </c>
      <c r="X41" s="10">
        <v>1262592.51</v>
      </c>
      <c r="Y41" s="10">
        <v>2900</v>
      </c>
      <c r="Z41" s="10">
        <v>0</v>
      </c>
      <c r="AA41" s="10">
        <v>0</v>
      </c>
      <c r="AB41" s="10">
        <v>401197.62000000005</v>
      </c>
      <c r="AC41" s="10">
        <v>0</v>
      </c>
      <c r="AD41" s="10">
        <v>1179993</v>
      </c>
      <c r="AE41" s="10">
        <v>1262592.51</v>
      </c>
      <c r="AF41" s="10">
        <v>2900</v>
      </c>
      <c r="AG41" s="10">
        <v>0</v>
      </c>
      <c r="AH41" s="10">
        <v>0</v>
      </c>
      <c r="AI41" s="10">
        <v>401197.62000000005</v>
      </c>
      <c r="AJ41" s="10">
        <v>0</v>
      </c>
      <c r="AL41" s="10">
        <v>1179993</v>
      </c>
      <c r="AM41" s="10">
        <v>1262592.51</v>
      </c>
      <c r="AN41" s="10">
        <v>2900</v>
      </c>
      <c r="AO41" s="10">
        <v>0</v>
      </c>
      <c r="AP41" s="10">
        <v>0</v>
      </c>
      <c r="AQ41" s="10">
        <v>401197.62000000005</v>
      </c>
      <c r="AR41" s="10">
        <v>0</v>
      </c>
      <c r="AS41" s="10">
        <v>1179993</v>
      </c>
      <c r="AT41" s="10">
        <v>1262592.51</v>
      </c>
      <c r="AU41" s="10">
        <v>2900</v>
      </c>
      <c r="AV41" s="10">
        <v>0</v>
      </c>
      <c r="AW41" s="10">
        <v>0</v>
      </c>
      <c r="AX41" s="10">
        <v>401197.62000000005</v>
      </c>
      <c r="AY41" s="10">
        <v>0</v>
      </c>
      <c r="BA41" s="11">
        <v>1262592.51</v>
      </c>
      <c r="BB41" s="11">
        <v>401197.62000000005</v>
      </c>
      <c r="BC41" s="11">
        <v>1262592.51</v>
      </c>
      <c r="BD41" s="11">
        <v>401197.62000000005</v>
      </c>
      <c r="BE41" s="11">
        <v>1262592.51</v>
      </c>
      <c r="BF41" s="11">
        <v>401197.62000000005</v>
      </c>
      <c r="BG41" s="11">
        <v>1262592.51</v>
      </c>
      <c r="BH41" s="11">
        <v>401197.62000000005</v>
      </c>
      <c r="BI41" s="11"/>
      <c r="BJ41" s="11">
        <v>1262592.51</v>
      </c>
      <c r="BK41" s="11">
        <v>401197.62000000005</v>
      </c>
      <c r="BM41" t="s">
        <v>58</v>
      </c>
      <c r="BN41" s="9">
        <v>0.128</v>
      </c>
      <c r="BO41" s="9">
        <v>0.10100000000000001</v>
      </c>
      <c r="BP41" s="9"/>
      <c r="BQ41" s="72">
        <v>0.128</v>
      </c>
      <c r="BR41" s="72">
        <v>0.10100000000000001</v>
      </c>
      <c r="BS41" s="10">
        <v>185226.89411923505</v>
      </c>
      <c r="BT41" s="11">
        <v>1663790.1300000001</v>
      </c>
      <c r="BU41" s="22">
        <v>0.11132828039990539</v>
      </c>
      <c r="BV41" s="11">
        <v>1663790.1300000001</v>
      </c>
      <c r="BW41" s="10">
        <v>185226.89411923505</v>
      </c>
    </row>
    <row r="42" spans="1:75">
      <c r="A42" t="str">
        <v>10vi</v>
      </c>
      <c r="B42" t="str">
        <v>P_10vi</v>
      </c>
      <c r="C42" t="str">
        <v>intermediated</v>
      </c>
      <c r="D42" s="10">
        <v>1836364.7500000002</v>
      </c>
      <c r="E42" s="10">
        <v>1707819.2175000003</v>
      </c>
      <c r="F42" s="10">
        <v>1925.0000000000002</v>
      </c>
      <c r="G42" s="10">
        <v>0</v>
      </c>
      <c r="H42" s="10">
        <v>0</v>
      </c>
      <c r="I42" s="10">
        <v>495818.48250000004</v>
      </c>
      <c r="J42" s="10">
        <v>0</v>
      </c>
      <c r="K42" s="10">
        <v>1836364.7500000002</v>
      </c>
      <c r="L42" s="10">
        <v>1707819.2175000003</v>
      </c>
      <c r="M42" s="10">
        <v>1925.0000000000002</v>
      </c>
      <c r="N42" s="10">
        <v>0</v>
      </c>
      <c r="O42" s="10">
        <v>0</v>
      </c>
      <c r="P42" s="10">
        <v>495818.48250000004</v>
      </c>
      <c r="Q42" s="10">
        <v>0</v>
      </c>
      <c r="S42" t="str">
        <v>P_10vi</v>
      </c>
      <c r="T42" t="str">
        <v>P</v>
      </c>
      <c r="U42" t="str">
        <v>10vi</v>
      </c>
      <c r="W42" s="10">
        <v>3338845</v>
      </c>
      <c r="X42" s="10">
        <v>3105125.85</v>
      </c>
      <c r="Y42" s="10">
        <v>3500</v>
      </c>
      <c r="Z42" s="10">
        <v>0</v>
      </c>
      <c r="AA42" s="10">
        <v>0</v>
      </c>
      <c r="AB42" s="10">
        <v>901488.15</v>
      </c>
      <c r="AC42" s="10">
        <v>0</v>
      </c>
      <c r="AD42" s="10">
        <v>1669422.5</v>
      </c>
      <c r="AE42" s="10">
        <v>1552562.925</v>
      </c>
      <c r="AF42" s="10">
        <v>1750</v>
      </c>
      <c r="AG42" s="10">
        <v>0</v>
      </c>
      <c r="AH42" s="10">
        <v>0</v>
      </c>
      <c r="AI42" s="10">
        <v>450744.07500000001</v>
      </c>
      <c r="AJ42" s="10">
        <v>0</v>
      </c>
      <c r="AL42" s="10">
        <v>1836364.7500000002</v>
      </c>
      <c r="AM42" s="10">
        <v>1707819.2175000003</v>
      </c>
      <c r="AN42" s="10">
        <v>1925.0000000000002</v>
      </c>
      <c r="AO42" s="10">
        <v>0</v>
      </c>
      <c r="AP42" s="10">
        <v>0</v>
      </c>
      <c r="AQ42" s="10">
        <v>495818.48250000004</v>
      </c>
      <c r="AR42" s="10">
        <v>0</v>
      </c>
      <c r="AS42" s="10">
        <v>1836364.7500000002</v>
      </c>
      <c r="AT42" s="10">
        <v>1707819.2175000003</v>
      </c>
      <c r="AU42" s="10">
        <v>1925.0000000000002</v>
      </c>
      <c r="AV42" s="10">
        <v>0</v>
      </c>
      <c r="AW42" s="10">
        <v>0</v>
      </c>
      <c r="AX42" s="10">
        <v>495818.48250000004</v>
      </c>
      <c r="AY42" s="10">
        <v>0</v>
      </c>
      <c r="BA42" s="11">
        <v>3338845</v>
      </c>
      <c r="BB42" s="11">
        <v>901488.15</v>
      </c>
      <c r="BC42" s="11">
        <v>1669422.5</v>
      </c>
      <c r="BD42" s="11">
        <v>450744.07500000001</v>
      </c>
      <c r="BE42" s="11">
        <v>1836364.7500000002</v>
      </c>
      <c r="BF42" s="11">
        <v>495818.48250000004</v>
      </c>
      <c r="BG42" s="11">
        <v>1836364.7500000002</v>
      </c>
      <c r="BH42" s="11">
        <v>495818.48250000004</v>
      </c>
      <c r="BI42" s="11"/>
      <c r="BJ42" s="11">
        <v>1836364.7500000002</v>
      </c>
      <c r="BK42" s="11">
        <v>495818.48250000004</v>
      </c>
      <c r="BM42" t="s">
        <v>59</v>
      </c>
      <c r="BN42" s="9">
        <v>0.128</v>
      </c>
      <c r="BO42" s="9">
        <v>0.10100000000000001</v>
      </c>
      <c r="BP42" s="9"/>
      <c r="BQ42" s="72">
        <v>0.128</v>
      </c>
      <c r="BR42" s="72">
        <v>0.10100000000000001</v>
      </c>
      <c r="BS42" s="10">
        <v>263684.41248152015</v>
      </c>
      <c r="BT42" s="11">
        <v>2332183.2325000004</v>
      </c>
      <c r="BU42" s="22">
        <v>0.11306333430708262</v>
      </c>
      <c r="BV42" s="11">
        <v>2332183.2325000004</v>
      </c>
      <c r="BW42" s="10">
        <v>263684.41248152015</v>
      </c>
    </row>
    <row r="43" spans="1:75">
      <c r="A43" t="str">
        <v>10vii</v>
      </c>
      <c r="B43" t="str">
        <v>D_10vii</v>
      </c>
      <c r="C43" t="str">
        <v>specialised</v>
      </c>
      <c r="D43" s="10">
        <v>1129942</v>
      </c>
      <c r="E43" s="10">
        <v>1152540.8400000001</v>
      </c>
      <c r="F43" s="10">
        <v>2900</v>
      </c>
      <c r="G43" s="10">
        <v>0</v>
      </c>
      <c r="H43" s="10">
        <v>0</v>
      </c>
      <c r="I43" s="10">
        <v>406779.12</v>
      </c>
      <c r="J43" s="10">
        <v>0</v>
      </c>
      <c r="K43" s="10">
        <v>1129942</v>
      </c>
      <c r="L43" s="10">
        <v>1152540.8400000001</v>
      </c>
      <c r="M43" s="10">
        <v>2900</v>
      </c>
      <c r="N43" s="10">
        <v>0</v>
      </c>
      <c r="O43" s="10">
        <v>0</v>
      </c>
      <c r="P43" s="10">
        <v>406779.12</v>
      </c>
      <c r="Q43" s="10">
        <v>0</v>
      </c>
      <c r="S43" t="str">
        <v>D_10vii</v>
      </c>
      <c r="T43" t="str">
        <v>D</v>
      </c>
      <c r="U43" t="str">
        <v>10vii</v>
      </c>
      <c r="W43" s="10">
        <v>1129942</v>
      </c>
      <c r="X43" s="10">
        <v>1152540.8400000001</v>
      </c>
      <c r="Y43" s="10">
        <v>2900</v>
      </c>
      <c r="Z43" s="10">
        <v>0</v>
      </c>
      <c r="AA43" s="10">
        <v>0</v>
      </c>
      <c r="AB43" s="10">
        <v>406779.12</v>
      </c>
      <c r="AC43" s="10">
        <v>0</v>
      </c>
      <c r="AD43" s="10">
        <v>1129942</v>
      </c>
      <c r="AE43" s="10">
        <v>1152540.8400000001</v>
      </c>
      <c r="AF43" s="10">
        <v>2900</v>
      </c>
      <c r="AG43" s="10">
        <v>0</v>
      </c>
      <c r="AH43" s="10">
        <v>0</v>
      </c>
      <c r="AI43" s="10">
        <v>406779.12</v>
      </c>
      <c r="AJ43" s="10">
        <v>0</v>
      </c>
      <c r="AL43" s="10">
        <v>1129942</v>
      </c>
      <c r="AM43" s="10">
        <v>1152540.8400000001</v>
      </c>
      <c r="AN43" s="10">
        <v>2900</v>
      </c>
      <c r="AO43" s="10">
        <v>0</v>
      </c>
      <c r="AP43" s="10">
        <v>0</v>
      </c>
      <c r="AQ43" s="10">
        <v>406779.12</v>
      </c>
      <c r="AR43" s="10">
        <v>0</v>
      </c>
      <c r="AS43" s="10">
        <v>1129942</v>
      </c>
      <c r="AT43" s="10">
        <v>1152540.8400000001</v>
      </c>
      <c r="AU43" s="10">
        <v>2900</v>
      </c>
      <c r="AV43" s="10">
        <v>0</v>
      </c>
      <c r="AW43" s="10">
        <v>0</v>
      </c>
      <c r="AX43" s="10">
        <v>406779.12</v>
      </c>
      <c r="AY43" s="10">
        <v>0</v>
      </c>
      <c r="BA43" s="11">
        <v>1152540.8400000001</v>
      </c>
      <c r="BB43" s="11">
        <v>406779.12</v>
      </c>
      <c r="BC43" s="11">
        <v>1152540.8400000001</v>
      </c>
      <c r="BD43" s="11">
        <v>406779.12</v>
      </c>
      <c r="BE43" s="11">
        <v>1152540.8400000001</v>
      </c>
      <c r="BF43" s="11">
        <v>406779.12</v>
      </c>
      <c r="BG43" s="11">
        <v>1152540.8400000001</v>
      </c>
      <c r="BH43" s="11">
        <v>406779.12</v>
      </c>
      <c r="BI43" s="11"/>
      <c r="BJ43" s="11">
        <v>1152540.8400000001</v>
      </c>
      <c r="BK43" s="11">
        <v>406779.12</v>
      </c>
      <c r="BM43" t="s">
        <v>60</v>
      </c>
      <c r="BN43" s="9">
        <v>0.128</v>
      </c>
      <c r="BO43" s="9">
        <v>0.10100000000000001</v>
      </c>
      <c r="BP43" s="9"/>
      <c r="BQ43" s="72">
        <v>0.128</v>
      </c>
      <c r="BR43" s="72">
        <v>0.10100000000000001</v>
      </c>
      <c r="BS43" s="10">
        <v>171792.52895373682</v>
      </c>
      <c r="BT43" s="11">
        <v>1559319.96</v>
      </c>
      <c r="BU43" s="22">
        <v>0.11017144227008857</v>
      </c>
      <c r="BV43" s="11">
        <v>1559319.96</v>
      </c>
      <c r="BW43" s="10">
        <v>171792.52895373682</v>
      </c>
    </row>
    <row r="44" spans="1:75">
      <c r="A44" t="str">
        <v>18b</v>
      </c>
      <c r="B44" t="str">
        <v>NP_18b</v>
      </c>
      <c r="C44" t="str">
        <v>direct</v>
      </c>
      <c r="D44" s="10">
        <v>1513194.94</v>
      </c>
      <c r="E44" s="10">
        <v>1331611.5471999999</v>
      </c>
      <c r="F44" s="10">
        <v>2494</v>
      </c>
      <c r="G44" s="10">
        <v>0</v>
      </c>
      <c r="H44" s="10">
        <v>0</v>
      </c>
      <c r="I44" s="10">
        <v>620409.92539999995</v>
      </c>
      <c r="J44" s="10">
        <v>0</v>
      </c>
      <c r="K44" s="10">
        <v>1513194.94</v>
      </c>
      <c r="L44" s="10">
        <v>1331611.5471999999</v>
      </c>
      <c r="M44" s="10">
        <v>2494</v>
      </c>
      <c r="N44" s="10">
        <v>0</v>
      </c>
      <c r="O44" s="10">
        <v>0</v>
      </c>
      <c r="P44" s="10">
        <v>620409.92539999995</v>
      </c>
      <c r="Q44" s="10">
        <v>0</v>
      </c>
      <c r="S44" t="str">
        <v>NP_18b</v>
      </c>
      <c r="T44" t="str">
        <v>NP</v>
      </c>
      <c r="U44" t="str">
        <v>18b</v>
      </c>
      <c r="W44" s="10">
        <v>6978969</v>
      </c>
      <c r="X44" s="10">
        <v>6891123.8300000001</v>
      </c>
      <c r="Y44" s="10">
        <v>9900</v>
      </c>
      <c r="Z44" s="10">
        <v>0</v>
      </c>
      <c r="AA44" s="10">
        <v>0</v>
      </c>
      <c r="AB44" s="10">
        <v>2747147.24</v>
      </c>
      <c r="AC44" s="10">
        <v>0</v>
      </c>
      <c r="AD44" s="10">
        <v>6215766.2999999998</v>
      </c>
      <c r="AE44" s="10">
        <v>6149607.1850000005</v>
      </c>
      <c r="AF44" s="10">
        <v>8940</v>
      </c>
      <c r="AG44" s="10">
        <v>0</v>
      </c>
      <c r="AH44" s="10">
        <v>0</v>
      </c>
      <c r="AI44" s="10">
        <v>2454205.0669999998</v>
      </c>
      <c r="AJ44" s="10">
        <v>0</v>
      </c>
      <c r="AL44" s="10">
        <v>6266646.4800000004</v>
      </c>
      <c r="AM44" s="10">
        <v>6199041.6280000005</v>
      </c>
      <c r="AN44" s="10">
        <v>9004</v>
      </c>
      <c r="AO44" s="10">
        <v>0</v>
      </c>
      <c r="AP44" s="10">
        <v>0</v>
      </c>
      <c r="AQ44" s="10">
        <v>2473734.5451999996</v>
      </c>
      <c r="AR44" s="10">
        <v>0</v>
      </c>
      <c r="AS44" s="10">
        <v>6266646.4800000004</v>
      </c>
      <c r="AT44" s="10">
        <v>6199041.6280000005</v>
      </c>
      <c r="AU44" s="10">
        <v>9004</v>
      </c>
      <c r="AV44" s="10">
        <v>0</v>
      </c>
      <c r="AW44" s="10">
        <v>0</v>
      </c>
      <c r="AX44" s="10">
        <v>2473734.5451999996</v>
      </c>
      <c r="AY44" s="10">
        <v>0</v>
      </c>
      <c r="BA44" s="11">
        <v>6978969</v>
      </c>
      <c r="BB44" s="11">
        <v>2747147.24</v>
      </c>
      <c r="BC44" s="11">
        <v>6215766.2999999998</v>
      </c>
      <c r="BD44" s="11">
        <v>2454205.0669999998</v>
      </c>
      <c r="BE44" s="11">
        <v>6266646.4800000004</v>
      </c>
      <c r="BF44" s="11">
        <v>2473734.5451999996</v>
      </c>
      <c r="BG44" s="11">
        <v>6266646.4800000004</v>
      </c>
      <c r="BH44" s="11">
        <v>2473734.5451999996</v>
      </c>
      <c r="BI44" s="11"/>
      <c r="BJ44" s="11">
        <v>6266646.4800000004</v>
      </c>
      <c r="BK44" s="11">
        <v>2473734.5451999996</v>
      </c>
      <c r="BM44" s="57" t="s">
        <v>74</v>
      </c>
      <c r="BN44" s="9">
        <v>0.121</v>
      </c>
      <c r="BO44" s="9">
        <v>0.19700000000000001</v>
      </c>
      <c r="BP44" s="9"/>
      <c r="BQ44" s="72">
        <v>0.17499999999999999</v>
      </c>
      <c r="BR44" s="72">
        <v>0.2</v>
      </c>
      <c r="BS44" s="10">
        <v>1410678.9958328421</v>
      </c>
      <c r="BT44" s="11">
        <v>8740381.0252</v>
      </c>
      <c r="BU44" s="22">
        <v>0.16139788320047094</v>
      </c>
      <c r="BV44" s="11">
        <v>8740381.0252</v>
      </c>
      <c r="BW44" s="10">
        <v>1410678.9958328421</v>
      </c>
    </row>
    <row r="45" spans="1:75">
      <c r="A45" t="str">
        <v>18b</v>
      </c>
      <c r="B45" t="str">
        <v>NP_18b</v>
      </c>
      <c r="C45" t="str">
        <v>direct</v>
      </c>
      <c r="D45" s="10">
        <v>1890951</v>
      </c>
      <c r="E45" s="10">
        <v>1947679.53</v>
      </c>
      <c r="F45" s="10">
        <v>3500</v>
      </c>
      <c r="G45" s="10">
        <v>0</v>
      </c>
      <c r="H45" s="10">
        <v>0</v>
      </c>
      <c r="I45" s="10">
        <v>794199.41999999993</v>
      </c>
      <c r="J45" s="10">
        <v>0</v>
      </c>
      <c r="K45" s="10">
        <v>1890951</v>
      </c>
      <c r="L45" s="10">
        <v>1947679.53</v>
      </c>
      <c r="M45" s="10">
        <v>3500</v>
      </c>
      <c r="N45" s="10">
        <v>0</v>
      </c>
      <c r="O45" s="10">
        <v>0</v>
      </c>
      <c r="P45" s="10">
        <v>794199.41999999993</v>
      </c>
      <c r="Q45" s="10">
        <v>0</v>
      </c>
      <c r="S45" t="str">
        <v>D_13</v>
      </c>
      <c r="T45" t="str">
        <v>D</v>
      </c>
      <c r="U45" t="str">
        <v>13</v>
      </c>
      <c r="W45" s="10">
        <v>2676194</v>
      </c>
      <c r="X45" s="10">
        <v>2917051.4600000004</v>
      </c>
      <c r="Y45" s="10">
        <v>2100</v>
      </c>
      <c r="Z45" s="10">
        <v>0</v>
      </c>
      <c r="AA45" s="10">
        <v>0</v>
      </c>
      <c r="AB45" s="10">
        <v>1043715.66</v>
      </c>
      <c r="AC45" s="10">
        <v>0</v>
      </c>
      <c r="AD45" s="10">
        <v>1338097</v>
      </c>
      <c r="AE45" s="10">
        <v>1458525.7300000002</v>
      </c>
      <c r="AF45" s="10">
        <v>1050</v>
      </c>
      <c r="AG45" s="10">
        <v>0</v>
      </c>
      <c r="AH45" s="10">
        <v>0</v>
      </c>
      <c r="AI45" s="10">
        <v>521857.83</v>
      </c>
      <c r="AJ45" s="10">
        <v>0</v>
      </c>
      <c r="AL45" s="10">
        <v>1471906.7000000002</v>
      </c>
      <c r="AM45" s="10">
        <v>1604378.3030000003</v>
      </c>
      <c r="AN45" s="10">
        <v>1155</v>
      </c>
      <c r="AO45" s="10">
        <v>0</v>
      </c>
      <c r="AP45" s="10">
        <v>0</v>
      </c>
      <c r="AQ45" s="10">
        <v>574043.61300000001</v>
      </c>
      <c r="AR45" s="10">
        <v>0</v>
      </c>
      <c r="AS45" s="10">
        <v>1471906.7000000002</v>
      </c>
      <c r="AT45" s="10">
        <v>1604378.3030000003</v>
      </c>
      <c r="AU45" s="10">
        <v>1155</v>
      </c>
      <c r="AV45" s="10">
        <v>0</v>
      </c>
      <c r="AW45" s="10">
        <v>0</v>
      </c>
      <c r="AX45" s="10">
        <v>574043.61300000001</v>
      </c>
      <c r="AY45" s="10">
        <v>0</v>
      </c>
      <c r="BA45" s="11">
        <v>2917051.4600000004</v>
      </c>
      <c r="BB45" s="11">
        <v>1043715.66</v>
      </c>
      <c r="BC45" s="11">
        <v>1458525.7300000002</v>
      </c>
      <c r="BD45" s="11">
        <v>521857.83</v>
      </c>
      <c r="BE45" s="11">
        <v>1604378.3030000003</v>
      </c>
      <c r="BF45" s="11">
        <v>574043.61300000001</v>
      </c>
      <c r="BG45" s="11">
        <v>1604378.3030000003</v>
      </c>
      <c r="BH45" s="11">
        <v>574043.61300000001</v>
      </c>
      <c r="BI45" s="11"/>
      <c r="BJ45" s="11">
        <v>1604378.3030000003</v>
      </c>
      <c r="BK45" s="11">
        <v>574043.61300000001</v>
      </c>
      <c r="BM45" s="57" t="s">
        <v>75</v>
      </c>
      <c r="BN45" s="9">
        <v>0.121</v>
      </c>
      <c r="BO45" s="9">
        <v>0.19700000000000001</v>
      </c>
      <c r="BP45" s="9"/>
      <c r="BQ45" s="72">
        <v>0.121</v>
      </c>
      <c r="BR45" s="72">
        <v>0.19700000000000001</v>
      </c>
      <c r="BS45" s="10">
        <v>269125.28908074734</v>
      </c>
      <c r="BT45" s="11">
        <v>2178421.9160000002</v>
      </c>
      <c r="BU45" s="22">
        <v>0.12354139806622627</v>
      </c>
      <c r="BV45" s="11">
        <v>2178421.9160000002</v>
      </c>
      <c r="BW45" s="10">
        <v>269125.28908074734</v>
      </c>
    </row>
    <row r="46" spans="1:75">
      <c r="A46" t="str">
        <v>13</v>
      </c>
      <c r="B46" t="str">
        <v>D_13</v>
      </c>
      <c r="C46" t="str">
        <v>intermediated</v>
      </c>
      <c r="D46" s="10">
        <v>1471906.7000000002</v>
      </c>
      <c r="E46" s="10">
        <v>1604378.3030000003</v>
      </c>
      <c r="F46" s="10">
        <v>1155</v>
      </c>
      <c r="G46" s="10">
        <v>0</v>
      </c>
      <c r="H46" s="10">
        <v>0</v>
      </c>
      <c r="I46" s="10">
        <v>574043.61300000001</v>
      </c>
      <c r="J46" s="10">
        <v>0</v>
      </c>
      <c r="K46" s="10">
        <v>1471906.7000000002</v>
      </c>
      <c r="L46" s="10">
        <v>1604378.3030000003</v>
      </c>
      <c r="M46" s="10">
        <v>1155</v>
      </c>
      <c r="N46" s="10">
        <v>0</v>
      </c>
      <c r="O46" s="10">
        <v>0</v>
      </c>
      <c r="P46" s="10">
        <v>574043.61300000001</v>
      </c>
      <c r="Q46" s="10">
        <v>0</v>
      </c>
      <c r="S46" t="str">
        <v>D_14</v>
      </c>
      <c r="T46" t="str">
        <v>D</v>
      </c>
      <c r="U46" t="str">
        <v>14</v>
      </c>
      <c r="W46" s="10">
        <v>2965011</v>
      </c>
      <c r="X46" s="10">
        <v>2638859.79</v>
      </c>
      <c r="Y46" s="10">
        <v>2000</v>
      </c>
      <c r="Z46" s="10">
        <v>0</v>
      </c>
      <c r="AA46" s="10">
        <v>0</v>
      </c>
      <c r="AB46" s="10">
        <v>1037753.85</v>
      </c>
      <c r="AC46" s="10">
        <v>0</v>
      </c>
      <c r="AD46" s="10">
        <v>2965011</v>
      </c>
      <c r="AE46" s="10">
        <v>2638859.79</v>
      </c>
      <c r="AF46" s="10">
        <v>2000</v>
      </c>
      <c r="AG46" s="10">
        <v>0</v>
      </c>
      <c r="AH46" s="10">
        <v>0</v>
      </c>
      <c r="AI46" s="10">
        <v>1037753.85</v>
      </c>
      <c r="AJ46" s="10">
        <v>0</v>
      </c>
      <c r="AL46" s="10">
        <v>2965011</v>
      </c>
      <c r="AM46" s="10">
        <v>2638859.79</v>
      </c>
      <c r="AN46" s="10">
        <v>2000</v>
      </c>
      <c r="AO46" s="10">
        <v>0</v>
      </c>
      <c r="AP46" s="10">
        <v>0</v>
      </c>
      <c r="AQ46" s="10">
        <v>1037753.85</v>
      </c>
      <c r="AR46" s="10">
        <v>0</v>
      </c>
      <c r="AS46" s="10">
        <v>2965011</v>
      </c>
      <c r="AT46" s="10">
        <v>2638859.79</v>
      </c>
      <c r="AU46" s="10">
        <v>2000</v>
      </c>
      <c r="AV46" s="10">
        <v>0</v>
      </c>
      <c r="AW46" s="10">
        <v>0</v>
      </c>
      <c r="AX46" s="10">
        <v>1037753.85</v>
      </c>
      <c r="AY46" s="10">
        <v>0</v>
      </c>
      <c r="BA46" s="11">
        <v>2965011</v>
      </c>
      <c r="BB46" s="11">
        <v>1037753.85</v>
      </c>
      <c r="BC46" s="11">
        <v>2965011</v>
      </c>
      <c r="BD46" s="11">
        <v>1037753.85</v>
      </c>
      <c r="BE46" s="11">
        <v>2965011</v>
      </c>
      <c r="BF46" s="11">
        <v>1037753.85</v>
      </c>
      <c r="BG46" s="11">
        <v>2965011</v>
      </c>
      <c r="BH46" s="11">
        <v>1037753.85</v>
      </c>
      <c r="BI46" s="11"/>
      <c r="BJ46" s="11">
        <v>2965011</v>
      </c>
      <c r="BK46" s="11">
        <v>1037753.85</v>
      </c>
      <c r="BM46" s="57" t="s">
        <v>76</v>
      </c>
      <c r="BN46" s="9">
        <v>0.121</v>
      </c>
      <c r="BO46" s="9">
        <v>0.19700000000000001</v>
      </c>
      <c r="BP46" s="9"/>
      <c r="BQ46" s="72">
        <v>9.0999999999999998E-2</v>
      </c>
      <c r="BR46" s="72">
        <v>0.23200000000000001</v>
      </c>
      <c r="BS46" s="10">
        <v>442409.44928757014</v>
      </c>
      <c r="BT46" s="11">
        <v>4002764.85</v>
      </c>
      <c r="BU46" s="22">
        <v>0.1105259653930383</v>
      </c>
      <c r="BV46" s="11">
        <v>4002764.85</v>
      </c>
      <c r="BW46" s="10">
        <v>442409.44928757014</v>
      </c>
    </row>
    <row r="47" spans="1:75">
      <c r="A47" t="str">
        <v>14</v>
      </c>
      <c r="B47" t="str">
        <v>D_14</v>
      </c>
      <c r="C47" t="str">
        <v>specialised</v>
      </c>
      <c r="D47" s="10">
        <v>2965011</v>
      </c>
      <c r="E47" s="10">
        <v>2638859.79</v>
      </c>
      <c r="F47" s="10">
        <v>2000</v>
      </c>
      <c r="G47" s="10">
        <v>0</v>
      </c>
      <c r="H47" s="10">
        <v>0</v>
      </c>
      <c r="I47" s="10">
        <v>1037753.85</v>
      </c>
      <c r="J47" s="10">
        <v>0</v>
      </c>
      <c r="K47" s="10">
        <v>2965011</v>
      </c>
      <c r="L47" s="10">
        <v>2638859.79</v>
      </c>
      <c r="M47" s="10">
        <v>2000</v>
      </c>
      <c r="N47" s="10">
        <v>0</v>
      </c>
      <c r="O47" s="10">
        <v>0</v>
      </c>
      <c r="P47" s="10">
        <v>1037753.85</v>
      </c>
      <c r="Q47" s="10">
        <v>0</v>
      </c>
      <c r="S47" t="str">
        <v>D_15</v>
      </c>
      <c r="T47" t="str">
        <v>D</v>
      </c>
      <c r="U47" t="str">
        <v>15</v>
      </c>
      <c r="W47" s="10">
        <v>3483517</v>
      </c>
      <c r="X47" s="10">
        <v>3448681.83</v>
      </c>
      <c r="Y47" s="10">
        <v>2100</v>
      </c>
      <c r="Z47" s="10">
        <v>0</v>
      </c>
      <c r="AA47" s="10">
        <v>0</v>
      </c>
      <c r="AB47" s="10">
        <v>1184395.78</v>
      </c>
      <c r="AC47" s="10">
        <v>0</v>
      </c>
      <c r="AD47" s="10">
        <v>2960989.4499999997</v>
      </c>
      <c r="AE47" s="10">
        <v>2931379.5554999998</v>
      </c>
      <c r="AF47" s="10">
        <v>1785</v>
      </c>
      <c r="AG47" s="10">
        <v>0</v>
      </c>
      <c r="AH47" s="10">
        <v>0</v>
      </c>
      <c r="AI47" s="10">
        <v>1006736.4129999999</v>
      </c>
      <c r="AJ47" s="10">
        <v>0</v>
      </c>
      <c r="AL47" s="10">
        <v>2995824.62</v>
      </c>
      <c r="AM47" s="10">
        <v>2965866.3738000002</v>
      </c>
      <c r="AN47" s="10">
        <v>1806</v>
      </c>
      <c r="AO47" s="10">
        <v>0</v>
      </c>
      <c r="AP47" s="10">
        <v>0</v>
      </c>
      <c r="AQ47" s="10">
        <v>1018580.3708</v>
      </c>
      <c r="AR47" s="10">
        <v>0</v>
      </c>
      <c r="AS47" s="10">
        <v>2995824.62</v>
      </c>
      <c r="AT47" s="10">
        <v>2965866.3738000002</v>
      </c>
      <c r="AU47" s="10">
        <v>1806</v>
      </c>
      <c r="AV47" s="10">
        <v>0</v>
      </c>
      <c r="AW47" s="10">
        <v>0</v>
      </c>
      <c r="AX47" s="10">
        <v>1018580.3708</v>
      </c>
      <c r="AY47" s="10">
        <v>0</v>
      </c>
      <c r="BA47" s="11">
        <v>3483517</v>
      </c>
      <c r="BB47" s="11">
        <v>1184395.78</v>
      </c>
      <c r="BC47" s="11">
        <v>2960989.4499999997</v>
      </c>
      <c r="BD47" s="11">
        <v>1006736.4129999999</v>
      </c>
      <c r="BE47" s="11">
        <v>2995824.62</v>
      </c>
      <c r="BF47" s="11">
        <v>1018580.3708</v>
      </c>
      <c r="BG47" s="11">
        <v>2995824.62</v>
      </c>
      <c r="BH47" s="11">
        <v>1018580.3708</v>
      </c>
      <c r="BI47" s="11"/>
      <c r="BJ47" s="11">
        <v>2995824.62</v>
      </c>
      <c r="BK47" s="11">
        <v>1018580.3708</v>
      </c>
      <c r="BM47" s="57" t="s">
        <v>77</v>
      </c>
      <c r="BN47" s="9">
        <v>9.0999999999999998E-2</v>
      </c>
      <c r="BO47" s="9">
        <v>0.23200000000000001</v>
      </c>
      <c r="BP47" s="9"/>
      <c r="BQ47" s="72">
        <v>0.123</v>
      </c>
      <c r="BR47" s="72">
        <v>0.193</v>
      </c>
      <c r="BS47" s="10">
        <v>496857.71102183306</v>
      </c>
      <c r="BT47" s="11">
        <v>4014404.9908000003</v>
      </c>
      <c r="BU47" s="22">
        <v>0.12376870598768812</v>
      </c>
      <c r="BV47" s="11">
        <v>4014404.9908000003</v>
      </c>
      <c r="BW47" s="10">
        <v>496857.71102183306</v>
      </c>
    </row>
    <row r="48" spans="1:75">
      <c r="A48" t="str">
        <v>15</v>
      </c>
      <c r="B48" t="str">
        <v>D_15</v>
      </c>
      <c r="C48" t="str">
        <v>direct</v>
      </c>
      <c r="D48" s="10">
        <v>2995824.62</v>
      </c>
      <c r="E48" s="10">
        <v>2965866.3738000002</v>
      </c>
      <c r="F48" s="10">
        <v>1806</v>
      </c>
      <c r="G48" s="10">
        <v>0</v>
      </c>
      <c r="H48" s="10">
        <v>0</v>
      </c>
      <c r="I48" s="10">
        <v>1018580.3708</v>
      </c>
      <c r="J48" s="10">
        <v>0</v>
      </c>
      <c r="K48" s="10">
        <v>2995824.62</v>
      </c>
      <c r="L48" s="10">
        <v>2965866.3738000002</v>
      </c>
      <c r="M48" s="10">
        <v>1806</v>
      </c>
      <c r="N48" s="10">
        <v>0</v>
      </c>
      <c r="O48" s="10">
        <v>0</v>
      </c>
      <c r="P48" s="10">
        <v>1018580.3708</v>
      </c>
      <c r="Q48" s="10">
        <v>0</v>
      </c>
      <c r="S48" t="str">
        <v>D_16i</v>
      </c>
      <c r="T48" t="str">
        <v>D</v>
      </c>
      <c r="U48" t="str">
        <v>16i</v>
      </c>
      <c r="W48" s="10">
        <v>1419003</v>
      </c>
      <c r="X48" s="10">
        <v>1461573.09</v>
      </c>
      <c r="Y48" s="10">
        <v>2900</v>
      </c>
      <c r="Z48" s="10">
        <v>0</v>
      </c>
      <c r="AA48" s="10">
        <v>0</v>
      </c>
      <c r="AB48" s="10">
        <v>624361.31999999995</v>
      </c>
      <c r="AC48" s="10">
        <v>0</v>
      </c>
      <c r="AD48" s="10">
        <v>1419003</v>
      </c>
      <c r="AE48" s="10">
        <v>1461573.09</v>
      </c>
      <c r="AF48" s="10">
        <v>2900</v>
      </c>
      <c r="AG48" s="10">
        <v>0</v>
      </c>
      <c r="AH48" s="10">
        <v>0</v>
      </c>
      <c r="AI48" s="10">
        <v>624361.31999999995</v>
      </c>
      <c r="AJ48" s="10">
        <v>0</v>
      </c>
      <c r="AL48" s="10">
        <v>1419003</v>
      </c>
      <c r="AM48" s="10">
        <v>1461573.09</v>
      </c>
      <c r="AN48" s="10">
        <v>2900</v>
      </c>
      <c r="AO48" s="10">
        <v>0</v>
      </c>
      <c r="AP48" s="10">
        <v>0</v>
      </c>
      <c r="AQ48" s="10">
        <v>624361.31999999995</v>
      </c>
      <c r="AR48" s="10">
        <v>0</v>
      </c>
      <c r="AS48" s="10">
        <v>1419003</v>
      </c>
      <c r="AT48" s="10">
        <v>1461573.09</v>
      </c>
      <c r="AU48" s="10">
        <v>2900</v>
      </c>
      <c r="AV48" s="10">
        <v>0</v>
      </c>
      <c r="AW48" s="10">
        <v>0</v>
      </c>
      <c r="AX48" s="10">
        <v>624361.31999999995</v>
      </c>
      <c r="AY48" s="10">
        <v>0</v>
      </c>
      <c r="BA48" s="11">
        <v>1461573.09</v>
      </c>
      <c r="BB48" s="11">
        <v>624361.31999999995</v>
      </c>
      <c r="BC48" s="11">
        <v>1461573.09</v>
      </c>
      <c r="BD48" s="11">
        <v>624361.31999999995</v>
      </c>
      <c r="BE48" s="11">
        <v>1461573.09</v>
      </c>
      <c r="BF48" s="11">
        <v>624361.31999999995</v>
      </c>
      <c r="BG48" s="11">
        <v>1461573.09</v>
      </c>
      <c r="BH48" s="11">
        <v>624361.31999999995</v>
      </c>
      <c r="BI48" s="11"/>
      <c r="BJ48" s="11">
        <v>1461573.09</v>
      </c>
      <c r="BK48" s="11">
        <v>624361.31999999995</v>
      </c>
      <c r="BM48" s="57" t="s">
        <v>78</v>
      </c>
      <c r="BN48" s="9">
        <v>0.123</v>
      </c>
      <c r="BO48" s="9">
        <v>0.193</v>
      </c>
      <c r="BP48" s="9"/>
      <c r="BQ48" s="72">
        <v>9.0999999999999998E-2</v>
      </c>
      <c r="BR48" s="72">
        <v>0.23200000000000001</v>
      </c>
      <c r="BS48" s="10">
        <v>240702.38706144874</v>
      </c>
      <c r="BT48" s="11">
        <v>2085934.4100000001</v>
      </c>
      <c r="BU48" s="22">
        <v>0.1153930755960101</v>
      </c>
      <c r="BV48" s="11">
        <v>2085934.4100000001</v>
      </c>
      <c r="BW48" s="10">
        <v>240702.38706144874</v>
      </c>
    </row>
    <row r="49" spans="1:75">
      <c r="A49" t="str">
        <v>16i</v>
      </c>
      <c r="B49" t="str">
        <v>D_16i</v>
      </c>
      <c r="C49" t="str">
        <v>specialised</v>
      </c>
      <c r="D49" s="10">
        <v>1419003</v>
      </c>
      <c r="E49" s="10">
        <v>1461573.09</v>
      </c>
      <c r="F49" s="10">
        <v>2900</v>
      </c>
      <c r="G49" s="10">
        <v>0</v>
      </c>
      <c r="H49" s="10">
        <v>0</v>
      </c>
      <c r="I49" s="10">
        <v>624361.31999999995</v>
      </c>
      <c r="J49" s="10">
        <v>0</v>
      </c>
      <c r="K49" s="10">
        <v>1419003</v>
      </c>
      <c r="L49" s="10">
        <v>1461573.09</v>
      </c>
      <c r="M49" s="10">
        <v>2900</v>
      </c>
      <c r="N49" s="10">
        <v>0</v>
      </c>
      <c r="O49" s="10">
        <v>0</v>
      </c>
      <c r="P49" s="10">
        <v>624361.31999999995</v>
      </c>
      <c r="Q49" s="10">
        <v>0</v>
      </c>
      <c r="S49" t="str">
        <v>FNP_18b</v>
      </c>
      <c r="T49" t="str">
        <v>FNP</v>
      </c>
      <c r="U49" t="str">
        <v>18b</v>
      </c>
      <c r="W49" s="10">
        <v>3781747</v>
      </c>
      <c r="X49" s="10">
        <v>4159921.7</v>
      </c>
      <c r="Y49" s="10">
        <v>2900</v>
      </c>
      <c r="Z49" s="10">
        <v>0</v>
      </c>
      <c r="AA49" s="10">
        <v>0</v>
      </c>
      <c r="AB49" s="10">
        <v>1172341.57</v>
      </c>
      <c r="AC49" s="10">
        <v>0</v>
      </c>
      <c r="AD49" s="10">
        <v>3781747</v>
      </c>
      <c r="AE49" s="10">
        <v>4159921.7</v>
      </c>
      <c r="AF49" s="10">
        <v>2900</v>
      </c>
      <c r="AG49" s="10">
        <v>0</v>
      </c>
      <c r="AH49" s="10">
        <v>0</v>
      </c>
      <c r="AI49" s="10">
        <v>1172341.57</v>
      </c>
      <c r="AJ49" s="10">
        <v>0</v>
      </c>
      <c r="AL49" s="10">
        <v>3781747</v>
      </c>
      <c r="AM49" s="10">
        <v>4159921.7</v>
      </c>
      <c r="AN49" s="10">
        <v>2900</v>
      </c>
      <c r="AO49" s="10">
        <v>0</v>
      </c>
      <c r="AP49" s="10">
        <v>0</v>
      </c>
      <c r="AQ49" s="10">
        <v>1172341.57</v>
      </c>
      <c r="AR49" s="10">
        <v>0</v>
      </c>
      <c r="AS49" s="10">
        <v>3781747</v>
      </c>
      <c r="AT49" s="10">
        <v>4159921.7</v>
      </c>
      <c r="AU49" s="10">
        <v>2900</v>
      </c>
      <c r="AV49" s="10">
        <v>0</v>
      </c>
      <c r="AW49" s="10">
        <v>0</v>
      </c>
      <c r="AX49" s="10">
        <v>1172341.57</v>
      </c>
      <c r="AY49" s="10">
        <v>0</v>
      </c>
      <c r="BA49" s="11">
        <v>4159921.7</v>
      </c>
      <c r="BB49" s="11">
        <v>1172341.57</v>
      </c>
      <c r="BC49" s="11">
        <v>4159921.7</v>
      </c>
      <c r="BD49" s="11">
        <v>1172341.57</v>
      </c>
      <c r="BE49" s="11">
        <v>4159921.7</v>
      </c>
      <c r="BF49" s="11">
        <v>1172341.57</v>
      </c>
      <c r="BG49" s="11">
        <v>4159921.7</v>
      </c>
      <c r="BH49" s="11">
        <v>1172341.57</v>
      </c>
      <c r="BI49" s="11"/>
      <c r="BJ49" s="11">
        <v>4159921.7</v>
      </c>
      <c r="BK49" s="11">
        <v>1172341.57</v>
      </c>
      <c r="BM49" t="s">
        <v>61</v>
      </c>
      <c r="BN49" s="9">
        <v>9.0999999999999998E-2</v>
      </c>
      <c r="BO49" s="9">
        <v>0.23200000000000001</v>
      </c>
      <c r="BP49" s="9"/>
      <c r="BQ49" s="72">
        <v>0.17499999999999999</v>
      </c>
      <c r="BR49" s="72">
        <v>0.2</v>
      </c>
      <c r="BS49" s="10">
        <v>869269.32501250063</v>
      </c>
      <c r="BT49" s="11">
        <v>5332263.2700000005</v>
      </c>
      <c r="BU49" s="22">
        <v>0.16302070640493724</v>
      </c>
      <c r="BV49" s="11">
        <v>5332263.2700000005</v>
      </c>
      <c r="BW49" s="10">
        <v>869269.32501250063</v>
      </c>
    </row>
    <row r="50" spans="1:75">
      <c r="A50" t="str">
        <v>18b</v>
      </c>
      <c r="B50" t="str">
        <v>FNP_18b</v>
      </c>
      <c r="C50" t="str">
        <v>direct</v>
      </c>
      <c r="D50" s="10">
        <v>3781747</v>
      </c>
      <c r="E50" s="10">
        <v>4159921.7</v>
      </c>
      <c r="F50" s="10">
        <v>2900</v>
      </c>
      <c r="G50" s="10">
        <v>0</v>
      </c>
      <c r="H50" s="10">
        <v>0</v>
      </c>
      <c r="I50" s="10">
        <v>1172341.57</v>
      </c>
      <c r="J50" s="10">
        <v>0</v>
      </c>
      <c r="K50" s="10">
        <v>3781747</v>
      </c>
      <c r="L50" s="10">
        <v>4159921.7</v>
      </c>
      <c r="M50" s="10">
        <v>2900</v>
      </c>
      <c r="N50" s="10">
        <v>0</v>
      </c>
      <c r="O50" s="10">
        <v>0</v>
      </c>
      <c r="P50" s="10">
        <v>1172341.57</v>
      </c>
      <c r="Q50" s="10">
        <v>0</v>
      </c>
      <c r="S50" t="str">
        <v>O_18c</v>
      </c>
      <c r="T50" t="str">
        <v>O</v>
      </c>
      <c r="U50" t="str">
        <v>18c</v>
      </c>
      <c r="W50" s="10">
        <v>2324524</v>
      </c>
      <c r="X50" s="10">
        <v>2115316.84</v>
      </c>
      <c r="Y50" s="10">
        <v>2900</v>
      </c>
      <c r="Z50" s="10">
        <v>0</v>
      </c>
      <c r="AA50" s="10">
        <v>0</v>
      </c>
      <c r="AB50" s="10">
        <v>650866.72000000009</v>
      </c>
      <c r="AC50" s="10">
        <v>0</v>
      </c>
      <c r="AD50" s="10">
        <v>2324524</v>
      </c>
      <c r="AE50" s="10">
        <v>2115316.84</v>
      </c>
      <c r="AF50" s="10">
        <v>2900</v>
      </c>
      <c r="AG50" s="10">
        <v>0</v>
      </c>
      <c r="AH50" s="10">
        <v>0</v>
      </c>
      <c r="AI50" s="10">
        <v>650866.72000000009</v>
      </c>
      <c r="AJ50" s="10">
        <v>0</v>
      </c>
      <c r="AL50" s="10">
        <v>2324524</v>
      </c>
      <c r="AM50" s="10">
        <v>2115316.84</v>
      </c>
      <c r="AN50" s="10">
        <v>2900</v>
      </c>
      <c r="AO50" s="10">
        <v>0</v>
      </c>
      <c r="AP50" s="10">
        <v>0</v>
      </c>
      <c r="AQ50" s="10">
        <v>650866.72000000009</v>
      </c>
      <c r="AR50" s="10">
        <v>0</v>
      </c>
      <c r="AS50" s="10">
        <v>2324524</v>
      </c>
      <c r="AT50" s="10">
        <v>2115316.84</v>
      </c>
      <c r="AU50" s="10">
        <v>2900</v>
      </c>
      <c r="AV50" s="10">
        <v>0</v>
      </c>
      <c r="AW50" s="10">
        <v>0</v>
      </c>
      <c r="AX50" s="10">
        <v>650866.72000000009</v>
      </c>
      <c r="AY50" s="10">
        <v>0</v>
      </c>
      <c r="BA50" s="11">
        <v>2324524</v>
      </c>
      <c r="BB50" s="11">
        <v>650866.72000000009</v>
      </c>
      <c r="BC50" s="11">
        <v>2324524</v>
      </c>
      <c r="BD50" s="11">
        <v>650866.72000000009</v>
      </c>
      <c r="BE50" s="11">
        <v>2324524</v>
      </c>
      <c r="BF50" s="11">
        <v>650866.72000000009</v>
      </c>
      <c r="BG50" s="11">
        <v>2324524</v>
      </c>
      <c r="BH50" s="11">
        <v>650866.72000000009</v>
      </c>
      <c r="BI50" s="11"/>
      <c r="BJ50" s="11">
        <v>2324524</v>
      </c>
      <c r="BK50" s="11">
        <v>650866.72000000009</v>
      </c>
      <c r="BM50" t="s">
        <v>62</v>
      </c>
      <c r="BN50" s="9">
        <v>9.0999999999999998E-2</v>
      </c>
      <c r="BO50" s="9">
        <v>0.23200000000000001</v>
      </c>
      <c r="BP50" s="9"/>
      <c r="BQ50" s="72">
        <v>0.17499999999999999</v>
      </c>
      <c r="BR50" s="72">
        <v>0.2</v>
      </c>
      <c r="BS50" s="10">
        <v>485157.72958644805</v>
      </c>
      <c r="BT50" s="11">
        <v>2975390.72</v>
      </c>
      <c r="BU50" s="22">
        <v>0.16305681345488904</v>
      </c>
      <c r="BV50" s="11">
        <v>2975390.72</v>
      </c>
      <c r="BW50" s="10">
        <v>485157.729586448</v>
      </c>
    </row>
    <row r="51" spans="1:75">
      <c r="A51" t="str">
        <v>18b</v>
      </c>
      <c r="B51" t="str">
        <v>NP_18b</v>
      </c>
      <c r="C51" t="str">
        <v>specialised</v>
      </c>
      <c r="D51" s="10">
        <v>2862500.54</v>
      </c>
      <c r="E51" s="10">
        <v>2919750.5508000003</v>
      </c>
      <c r="F51" s="10">
        <v>3010</v>
      </c>
      <c r="G51" s="10">
        <v>0</v>
      </c>
      <c r="H51" s="10">
        <v>0</v>
      </c>
      <c r="I51" s="10">
        <v>1059125.1997999998</v>
      </c>
      <c r="J51" s="10">
        <v>0</v>
      </c>
      <c r="K51" s="10">
        <v>2862500.54</v>
      </c>
      <c r="L51" s="10">
        <v>2919750.5508000003</v>
      </c>
      <c r="M51" s="10">
        <v>3010</v>
      </c>
      <c r="N51" s="10">
        <v>0</v>
      </c>
      <c r="O51" s="10">
        <v>0</v>
      </c>
      <c r="P51" s="10">
        <v>1059125.1997999998</v>
      </c>
      <c r="Q51" s="10">
        <v>0</v>
      </c>
      <c r="S51" t="str">
        <v>P_17ii</v>
      </c>
      <c r="T51" t="str">
        <v>P</v>
      </c>
      <c r="U51" t="str">
        <v>17ii</v>
      </c>
      <c r="W51" s="10">
        <v>3529986</v>
      </c>
      <c r="X51" s="10">
        <v>3459386.28</v>
      </c>
      <c r="Y51" s="10">
        <v>2900</v>
      </c>
      <c r="Z51" s="10">
        <v>0</v>
      </c>
      <c r="AA51" s="10">
        <v>0</v>
      </c>
      <c r="AB51" s="10">
        <v>1306094.82</v>
      </c>
      <c r="AC51" s="10">
        <v>0</v>
      </c>
      <c r="AD51" s="10">
        <v>1764993</v>
      </c>
      <c r="AE51" s="10">
        <v>1729693.14</v>
      </c>
      <c r="AF51" s="10">
        <v>1450</v>
      </c>
      <c r="AG51" s="10">
        <v>0</v>
      </c>
      <c r="AH51" s="10">
        <v>0</v>
      </c>
      <c r="AI51" s="10">
        <v>653047.41</v>
      </c>
      <c r="AJ51" s="10">
        <v>0</v>
      </c>
      <c r="AL51" s="10">
        <v>1941492.3</v>
      </c>
      <c r="AM51" s="10">
        <v>1902662.4540000001</v>
      </c>
      <c r="AN51" s="10">
        <v>1595.0000000000002</v>
      </c>
      <c r="AO51" s="10">
        <v>0</v>
      </c>
      <c r="AP51" s="10">
        <v>0</v>
      </c>
      <c r="AQ51" s="10">
        <v>718352.15100000007</v>
      </c>
      <c r="AR51" s="10">
        <v>0</v>
      </c>
      <c r="AS51" s="10">
        <v>1941492.3</v>
      </c>
      <c r="AT51" s="10">
        <v>1902662.4540000001</v>
      </c>
      <c r="AU51" s="10">
        <v>1595.0000000000002</v>
      </c>
      <c r="AV51" s="10">
        <v>0</v>
      </c>
      <c r="AW51" s="10">
        <v>0</v>
      </c>
      <c r="AX51" s="10">
        <v>718352.15100000007</v>
      </c>
      <c r="AY51" s="10">
        <v>0</v>
      </c>
      <c r="BA51" s="11">
        <v>3529986</v>
      </c>
      <c r="BB51" s="11">
        <v>1306094.82</v>
      </c>
      <c r="BC51" s="11">
        <v>1764993</v>
      </c>
      <c r="BD51" s="11">
        <v>653047.41</v>
      </c>
      <c r="BE51" s="11">
        <v>1941492.3</v>
      </c>
      <c r="BF51" s="11">
        <v>718352.15100000007</v>
      </c>
      <c r="BG51" s="11">
        <v>1941492.3</v>
      </c>
      <c r="BH51" s="11">
        <v>718352.15100000007</v>
      </c>
      <c r="BI51" s="11"/>
      <c r="BJ51" s="11">
        <v>1941492.3</v>
      </c>
      <c r="BK51" s="11">
        <v>718352.15100000007</v>
      </c>
      <c r="BM51" t="s">
        <v>63</v>
      </c>
      <c r="BN51" s="9">
        <v>9.0999999999999998E-2</v>
      </c>
      <c r="BO51" s="9">
        <v>0.23200000000000001</v>
      </c>
      <c r="BP51" s="9"/>
      <c r="BQ51" s="72">
        <v>0.14899999999999999</v>
      </c>
      <c r="BR51" s="72">
        <v>0.11</v>
      </c>
      <c r="BS51" s="10">
        <v>335837.70835480961</v>
      </c>
      <c r="BT51" s="11">
        <v>2659844.4510000004</v>
      </c>
      <c r="BU51" s="22">
        <v>0.12626216101792997</v>
      </c>
      <c r="BV51" s="11">
        <v>2659844.4510000004</v>
      </c>
      <c r="BW51" s="10">
        <v>335837.70835480961</v>
      </c>
    </row>
    <row r="52" spans="1:75">
      <c r="A52" t="str">
        <v>18c</v>
      </c>
      <c r="B52" t="str">
        <v>O_18c</v>
      </c>
      <c r="C52" t="str">
        <v>direct</v>
      </c>
      <c r="D52" s="10">
        <v>2324524</v>
      </c>
      <c r="E52" s="10">
        <v>2115316.84</v>
      </c>
      <c r="F52" s="10">
        <v>2900</v>
      </c>
      <c r="G52" s="10">
        <v>0</v>
      </c>
      <c r="H52" s="10">
        <v>0</v>
      </c>
      <c r="I52" s="10">
        <v>650866.72000000009</v>
      </c>
      <c r="J52" s="10">
        <v>0</v>
      </c>
      <c r="K52" s="10">
        <v>2324524</v>
      </c>
      <c r="L52" s="10">
        <v>2115316.84</v>
      </c>
      <c r="M52" s="10">
        <v>2900</v>
      </c>
      <c r="N52" s="10">
        <v>0</v>
      </c>
      <c r="O52" s="10">
        <v>0</v>
      </c>
      <c r="P52" s="10">
        <v>650866.72000000009</v>
      </c>
      <c r="Q52" s="10">
        <v>0</v>
      </c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L52" s="10"/>
      <c r="AM52" s="10"/>
      <c r="AN52" s="10"/>
      <c r="AO52" s="10"/>
      <c r="AP52" s="10"/>
      <c r="AQ52" s="10"/>
      <c r="AR52" s="10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M52" t="s">
        <v>64</v>
      </c>
      <c r="BN52" s="9">
        <v>0.14899999999999999</v>
      </c>
      <c r="BO52" s="9">
        <v>0.11</v>
      </c>
      <c r="BP52" s="9"/>
      <c r="BS52" s="10"/>
      <c r="BT52" s="11"/>
      <c r="BU52" s="22"/>
      <c r="BV52" s="11"/>
      <c r="BW52" s="23"/>
    </row>
    <row r="53" spans="1:75">
      <c r="A53" t="str">
        <v>17ii</v>
      </c>
      <c r="B53" t="str">
        <v>P_17ii</v>
      </c>
      <c r="C53" t="str">
        <v>direct</v>
      </c>
      <c r="D53" s="10">
        <v>1941492.3</v>
      </c>
      <c r="E53" s="10">
        <v>1902662.4540000001</v>
      </c>
      <c r="F53" s="10">
        <v>1595.0000000000002</v>
      </c>
      <c r="G53" s="10">
        <v>0</v>
      </c>
      <c r="H53" s="10">
        <v>0</v>
      </c>
      <c r="I53" s="10">
        <v>718352.15100000007</v>
      </c>
      <c r="J53" s="10">
        <v>0</v>
      </c>
      <c r="K53" s="10">
        <v>1941492.3</v>
      </c>
      <c r="L53" s="10">
        <v>1902662.4540000001</v>
      </c>
      <c r="M53" s="10">
        <v>1595.0000000000002</v>
      </c>
      <c r="N53" s="10">
        <v>0</v>
      </c>
      <c r="O53" s="10">
        <v>0</v>
      </c>
      <c r="P53" s="10">
        <v>718352.15100000007</v>
      </c>
      <c r="Q53" s="10">
        <v>0</v>
      </c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L53" s="10"/>
      <c r="AM53" s="10"/>
      <c r="AN53" s="10"/>
      <c r="AO53" s="10"/>
      <c r="AP53" s="10"/>
      <c r="AQ53" s="10"/>
      <c r="AR53" s="10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M53" t="s">
        <v>65</v>
      </c>
      <c r="BN53" s="9">
        <v>0.14899999999999999</v>
      </c>
      <c r="BO53" s="9">
        <v>0.11</v>
      </c>
      <c r="BP53" s="9"/>
      <c r="BS53" s="10"/>
      <c r="BT53" s="11"/>
      <c r="BU53" s="22"/>
      <c r="BV53" s="11"/>
      <c r="BW53" s="23"/>
    </row>
    <row r="54" spans="1:75">
      <c r="A54" t="str">
        <v>zzz</v>
      </c>
      <c r="B54" t="str">
        <v>_zzz</v>
      </c>
      <c r="C54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L54" s="10"/>
      <c r="AM54" s="10"/>
      <c r="AN54" s="10"/>
      <c r="AO54" s="10"/>
      <c r="AP54" s="10"/>
      <c r="AQ54" s="10"/>
      <c r="AR54" s="10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M54" t="s">
        <v>66</v>
      </c>
      <c r="BN54" s="9">
        <v>0.14899999999999999</v>
      </c>
      <c r="BO54" s="9">
        <v>0.11</v>
      </c>
      <c r="BP54" s="9"/>
      <c r="BS54" s="10"/>
      <c r="BT54" s="11"/>
      <c r="BU54" s="22"/>
      <c r="BV54" s="11"/>
      <c r="BW54" s="23"/>
    </row>
    <row r="55" spans="1:75">
      <c r="A55" t="str">
        <v>zzz</v>
      </c>
      <c r="B55" t="str">
        <v>_zzz</v>
      </c>
      <c r="C55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  <c r="O55" s="10">
        <v>0</v>
      </c>
      <c r="P55" s="10">
        <v>0</v>
      </c>
      <c r="Q55" s="10">
        <v>0</v>
      </c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L55" s="10"/>
      <c r="AM55" s="10"/>
      <c r="AN55" s="10"/>
      <c r="AO55" s="10"/>
      <c r="AP55" s="10"/>
      <c r="AQ55" s="10"/>
      <c r="AR55" s="10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M55" t="s">
        <v>67</v>
      </c>
      <c r="BN55" s="9">
        <v>0.14899999999999999</v>
      </c>
      <c r="BO55" s="9">
        <v>0.11</v>
      </c>
      <c r="BP55" s="9"/>
      <c r="BS55" s="10"/>
      <c r="BT55" s="11"/>
      <c r="BU55" s="22"/>
      <c r="BV55" s="11"/>
      <c r="BW55" s="23"/>
    </row>
    <row r="56" spans="1:75">
      <c r="A56" t="str">
        <v>zzz</v>
      </c>
      <c r="B56" t="str">
        <v>_zzz</v>
      </c>
      <c r="C56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  <c r="O56" s="10">
        <v>0</v>
      </c>
      <c r="P56" s="10">
        <v>0</v>
      </c>
      <c r="Q56" s="10">
        <v>0</v>
      </c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L56" s="10"/>
      <c r="AM56" s="10"/>
      <c r="AN56" s="10"/>
      <c r="AO56" s="10"/>
      <c r="AP56" s="10"/>
      <c r="AQ56" s="10"/>
      <c r="AR56" s="10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M56" t="s">
        <v>68</v>
      </c>
      <c r="BN56" s="9">
        <v>0.17499999999999999</v>
      </c>
      <c r="BO56" s="58">
        <v>0.2</v>
      </c>
      <c r="BP56" s="58"/>
      <c r="BS56" s="10"/>
      <c r="BT56" s="11"/>
      <c r="BU56" s="22"/>
      <c r="BV56" s="11"/>
      <c r="BW56" s="23"/>
    </row>
    <row r="57" spans="1:75">
      <c r="A57" t="str">
        <v>zzz</v>
      </c>
      <c r="B57" t="str">
        <v>_zzz</v>
      </c>
      <c r="C57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  <c r="O57" s="10">
        <v>0</v>
      </c>
      <c r="P57" s="10">
        <v>0</v>
      </c>
      <c r="Q57" s="10">
        <v>0</v>
      </c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L57" s="10"/>
      <c r="AM57" s="10"/>
      <c r="AN57" s="10"/>
      <c r="AO57" s="10"/>
      <c r="AP57" s="10"/>
      <c r="AQ57" s="10"/>
      <c r="AR57" s="10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M57" t="s">
        <v>69</v>
      </c>
      <c r="BN57" s="9">
        <v>0.17499999999999999</v>
      </c>
      <c r="BO57" s="58">
        <v>0.2</v>
      </c>
      <c r="BP57" s="58"/>
      <c r="BS57" s="10"/>
      <c r="BT57" s="11"/>
      <c r="BU57" s="22"/>
      <c r="BV57" s="11"/>
      <c r="BW57" s="23"/>
    </row>
    <row r="58" spans="1:75">
      <c r="A58" t="str">
        <v>zzz</v>
      </c>
      <c r="B58" t="str">
        <v>_zzz</v>
      </c>
      <c r="C58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L58" s="10"/>
      <c r="AM58" s="10"/>
      <c r="AN58" s="10"/>
      <c r="AO58" s="10"/>
      <c r="AP58" s="10"/>
      <c r="AQ58" s="10"/>
      <c r="AR58" s="10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S58" s="10"/>
      <c r="BT58" s="11"/>
      <c r="BU58" s="22"/>
      <c r="BV58" s="11"/>
      <c r="BW58" s="23"/>
    </row>
    <row r="59" spans="1:75"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L59" s="10"/>
      <c r="AM59" s="10"/>
      <c r="AN59" s="10"/>
      <c r="AO59" s="10"/>
      <c r="AP59" s="10"/>
      <c r="AQ59" s="10"/>
      <c r="AR59" s="10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S59" s="10"/>
      <c r="BT59" s="11"/>
      <c r="BU59" s="22"/>
      <c r="BV59" s="11"/>
      <c r="BW59" s="23"/>
    </row>
    <row r="60" spans="1:75"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L60" s="10"/>
      <c r="AM60" s="10"/>
      <c r="AN60" s="10"/>
      <c r="AO60" s="10"/>
      <c r="AP60" s="10"/>
      <c r="AQ60" s="10"/>
      <c r="AR60" s="10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S60" s="10"/>
      <c r="BT60" s="11"/>
      <c r="BU60" s="22"/>
      <c r="BV60" s="11"/>
      <c r="BW60" s="23"/>
    </row>
    <row r="61" spans="1:75"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L61" s="10"/>
      <c r="AM61" s="10"/>
      <c r="AN61" s="10"/>
      <c r="AO61" s="10"/>
      <c r="AP61" s="10"/>
      <c r="AQ61" s="10"/>
      <c r="AR61" s="10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S61" s="10"/>
      <c r="BT61" s="11"/>
      <c r="BU61" s="22"/>
      <c r="BV61" s="11"/>
      <c r="BW61" s="23"/>
    </row>
    <row r="62" spans="1:75"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L62" s="10"/>
      <c r="AM62" s="10"/>
      <c r="AN62" s="10"/>
      <c r="AO62" s="10"/>
      <c r="AP62" s="10"/>
      <c r="AQ62" s="10"/>
      <c r="AR62" s="10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S62" s="10"/>
      <c r="BT62" s="11"/>
      <c r="BU62" s="22"/>
      <c r="BV62" s="11"/>
      <c r="BW62" s="23"/>
    </row>
    <row r="63" spans="1:75"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L63" s="10"/>
      <c r="AM63" s="10"/>
      <c r="AN63" s="10"/>
      <c r="AO63" s="10"/>
      <c r="AP63" s="10"/>
      <c r="AQ63" s="10"/>
      <c r="AR63" s="10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S63" s="10"/>
      <c r="BT63" s="11"/>
      <c r="BU63" s="22"/>
      <c r="BV63" s="11"/>
      <c r="BW63" s="23"/>
    </row>
    <row r="64" spans="1:75"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L64" s="10"/>
      <c r="AM64" s="10"/>
      <c r="AN64" s="10"/>
      <c r="AO64" s="10"/>
      <c r="AP64" s="10"/>
      <c r="AQ64" s="10"/>
      <c r="AR64" s="10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S64" s="10"/>
      <c r="BT64" s="11"/>
      <c r="BU64" s="22"/>
      <c r="BV64" s="11"/>
      <c r="BW64" s="23"/>
    </row>
    <row r="65" spans="23:75"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L65" s="10"/>
      <c r="AM65" s="10"/>
      <c r="AN65" s="10"/>
      <c r="AO65" s="10"/>
      <c r="AP65" s="10"/>
      <c r="AQ65" s="10"/>
      <c r="AR65" s="10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S65" s="10"/>
      <c r="BT65" s="11"/>
      <c r="BU65" s="22"/>
      <c r="BV65" s="11"/>
      <c r="BW65" s="23"/>
    </row>
    <row r="66" spans="23:75"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L66" s="10"/>
      <c r="AM66" s="10"/>
      <c r="AN66" s="10"/>
      <c r="AO66" s="10"/>
      <c r="AP66" s="10"/>
      <c r="AQ66" s="10"/>
      <c r="AR66" s="10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S66" s="10"/>
      <c r="BT66" s="11"/>
      <c r="BU66" s="22"/>
      <c r="BV66" s="11"/>
      <c r="BW66" s="23"/>
    </row>
    <row r="67" spans="23:75"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L67" s="10"/>
      <c r="AM67" s="10"/>
      <c r="AN67" s="10"/>
      <c r="AO67" s="10"/>
      <c r="AP67" s="10"/>
      <c r="AQ67" s="10"/>
      <c r="AR67" s="10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S67" s="10"/>
      <c r="BT67" s="11"/>
      <c r="BU67" s="22"/>
      <c r="BV67" s="11"/>
      <c r="BW67" s="23"/>
    </row>
    <row r="68" spans="23:75"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L68" s="10"/>
      <c r="AM68" s="10"/>
      <c r="AN68" s="10"/>
      <c r="AO68" s="10"/>
      <c r="AP68" s="10"/>
      <c r="AQ68" s="10"/>
      <c r="AR68" s="10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S68" s="10"/>
      <c r="BT68" s="11"/>
      <c r="BU68" s="22"/>
      <c r="BV68" s="11"/>
      <c r="BW68" s="23"/>
    </row>
    <row r="69" spans="23:75"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L69" s="10"/>
      <c r="AM69" s="10"/>
      <c r="AN69" s="10"/>
      <c r="AO69" s="10"/>
      <c r="AP69" s="10"/>
      <c r="AQ69" s="10"/>
      <c r="AR69" s="10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S69" s="10"/>
      <c r="BT69" s="11"/>
      <c r="BU69" s="22"/>
      <c r="BV69" s="11"/>
      <c r="BW69" s="23"/>
    </row>
    <row r="70" spans="23:75"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L70" s="10"/>
      <c r="AM70" s="10"/>
      <c r="AN70" s="10"/>
      <c r="AO70" s="10"/>
      <c r="AP70" s="10"/>
      <c r="AQ70" s="10"/>
      <c r="AR70" s="10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S70" s="10"/>
      <c r="BT70" s="11"/>
      <c r="BU70" s="22"/>
      <c r="BV70" s="11"/>
      <c r="BW70" s="23"/>
    </row>
    <row r="71" spans="23:75"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L71" s="10"/>
      <c r="AM71" s="10"/>
      <c r="AN71" s="10"/>
      <c r="AO71" s="10"/>
      <c r="AP71" s="10"/>
      <c r="AQ71" s="10"/>
      <c r="AR71" s="10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S71" s="10"/>
      <c r="BT71" s="11"/>
      <c r="BU71" s="22"/>
      <c r="BV71" s="11"/>
      <c r="BW71" s="23"/>
    </row>
    <row r="72" spans="23:75"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L72" s="10"/>
      <c r="AM72" s="10"/>
      <c r="AN72" s="10"/>
      <c r="AO72" s="10"/>
      <c r="AP72" s="10"/>
      <c r="AQ72" s="10"/>
      <c r="AR72" s="10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S72" s="10"/>
      <c r="BT72" s="11"/>
      <c r="BU72" s="22"/>
      <c r="BV72" s="11"/>
      <c r="BW72" s="23"/>
    </row>
    <row r="73" spans="23:75"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L73" s="10"/>
      <c r="AM73" s="10"/>
      <c r="AN73" s="10"/>
      <c r="AO73" s="10"/>
      <c r="AP73" s="10"/>
      <c r="AQ73" s="10"/>
      <c r="AR73" s="10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S73" s="10"/>
      <c r="BT73" s="11"/>
      <c r="BU73" s="22"/>
      <c r="BV73" s="11"/>
      <c r="BW73" s="23"/>
    </row>
    <row r="74" spans="23:75"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L74" s="10"/>
      <c r="AM74" s="10"/>
      <c r="AN74" s="10"/>
      <c r="AO74" s="10"/>
      <c r="AP74" s="10"/>
      <c r="AQ74" s="10"/>
      <c r="AR74" s="10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S74" s="10"/>
      <c r="BT74" s="11"/>
      <c r="BU74" s="22"/>
      <c r="BV74" s="11"/>
      <c r="BW74" s="23"/>
    </row>
    <row r="75" spans="23:75"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L75" s="10"/>
      <c r="AM75" s="10"/>
      <c r="AN75" s="10"/>
      <c r="AO75" s="10"/>
      <c r="AP75" s="10"/>
      <c r="AQ75" s="10"/>
      <c r="AR75" s="10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S75" s="10"/>
      <c r="BT75" s="11"/>
      <c r="BU75" s="22"/>
      <c r="BV75" s="11"/>
      <c r="BW75" s="23"/>
    </row>
    <row r="76" spans="23:75"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L76" s="10"/>
      <c r="AM76" s="10"/>
      <c r="AN76" s="10"/>
      <c r="AO76" s="10"/>
      <c r="AP76" s="10"/>
      <c r="AQ76" s="10"/>
      <c r="AR76" s="10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S76" s="10"/>
      <c r="BT76" s="11"/>
      <c r="BU76" s="22"/>
      <c r="BV76" s="11"/>
      <c r="BW76" s="23"/>
    </row>
    <row r="77" spans="23:75"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L77" s="10"/>
      <c r="AM77" s="10"/>
      <c r="AN77" s="10"/>
      <c r="AO77" s="10"/>
      <c r="AP77" s="10"/>
      <c r="AQ77" s="10"/>
      <c r="AR77" s="10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S77" s="10"/>
      <c r="BT77" s="11"/>
      <c r="BU77" s="22"/>
      <c r="BV77" s="11"/>
      <c r="BW77" s="23"/>
    </row>
    <row r="78" spans="23:75"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L78" s="10"/>
      <c r="AM78" s="10"/>
      <c r="AN78" s="10"/>
      <c r="AO78" s="10"/>
      <c r="AP78" s="10"/>
      <c r="AQ78" s="10"/>
      <c r="AR78" s="10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S78" s="10"/>
      <c r="BT78" s="11"/>
      <c r="BU78" s="22"/>
      <c r="BV78" s="11"/>
      <c r="BW78" s="23"/>
    </row>
    <row r="79" spans="23:75"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L79" s="10"/>
      <c r="AM79" s="10"/>
      <c r="AN79" s="10"/>
      <c r="AO79" s="10"/>
      <c r="AP79" s="10"/>
      <c r="AQ79" s="10"/>
      <c r="AR79" s="10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S79" s="10"/>
      <c r="BT79" s="11"/>
      <c r="BU79" s="22"/>
      <c r="BV79" s="11"/>
      <c r="BW79" s="23"/>
    </row>
    <row r="80" spans="23:75"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L80" s="10"/>
      <c r="AM80" s="10"/>
      <c r="AN80" s="10"/>
      <c r="AO80" s="10"/>
      <c r="AP80" s="10"/>
      <c r="AQ80" s="10"/>
      <c r="AR80" s="10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S80" s="10"/>
      <c r="BT80" s="11"/>
      <c r="BU80" s="22"/>
      <c r="BV80" s="11"/>
      <c r="BW80" s="23"/>
    </row>
    <row r="81" spans="23:75"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L81" s="10"/>
      <c r="AM81" s="10"/>
      <c r="AN81" s="10"/>
      <c r="AO81" s="10"/>
      <c r="AP81" s="10"/>
      <c r="AQ81" s="10"/>
      <c r="AR81" s="10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S81" s="10"/>
      <c r="BT81" s="11"/>
      <c r="BU81" s="22"/>
      <c r="BV81" s="11"/>
      <c r="BW81" s="23"/>
    </row>
    <row r="82" spans="23:75"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L82" s="10"/>
      <c r="AM82" s="10"/>
      <c r="AN82" s="10"/>
      <c r="AO82" s="10"/>
      <c r="AP82" s="10"/>
      <c r="AQ82" s="10"/>
      <c r="AR82" s="10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S82" s="10"/>
      <c r="BT82" s="11"/>
      <c r="BU82" s="22"/>
      <c r="BV82" s="11"/>
      <c r="BW82" s="23"/>
    </row>
    <row r="83" spans="23:75"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L83" s="10"/>
      <c r="AM83" s="10"/>
      <c r="AN83" s="10"/>
      <c r="AO83" s="10"/>
      <c r="AP83" s="10"/>
      <c r="AQ83" s="10"/>
      <c r="AR83" s="10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S83" s="10"/>
      <c r="BT83" s="11"/>
      <c r="BU83" s="22"/>
      <c r="BV83" s="11"/>
      <c r="BW83" s="23"/>
    </row>
    <row r="84" spans="23:75"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L84" s="10"/>
      <c r="AM84" s="10"/>
      <c r="AN84" s="10"/>
      <c r="AO84" s="10"/>
      <c r="AP84" s="10"/>
      <c r="AQ84" s="10"/>
      <c r="AR84" s="10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S84" s="10"/>
      <c r="BT84" s="11"/>
      <c r="BU84" s="22"/>
      <c r="BV84" s="11"/>
      <c r="BW84" s="23"/>
    </row>
    <row r="85" spans="23:75"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L85" s="10"/>
      <c r="AM85" s="10"/>
      <c r="AN85" s="10"/>
      <c r="AO85" s="10"/>
      <c r="AP85" s="10"/>
      <c r="AQ85" s="10"/>
      <c r="AR85" s="10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S85" s="10"/>
      <c r="BT85" s="11"/>
      <c r="BU85" s="22"/>
      <c r="BV85" s="11"/>
      <c r="BW85" s="23"/>
    </row>
    <row r="86" spans="23:75"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L86" s="10"/>
      <c r="AM86" s="10"/>
      <c r="AN86" s="10"/>
      <c r="AO86" s="10"/>
      <c r="AP86" s="10"/>
      <c r="AQ86" s="10"/>
      <c r="AR86" s="10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S86" s="10"/>
      <c r="BT86" s="11"/>
      <c r="BU86" s="22"/>
      <c r="BV86" s="11"/>
      <c r="BW86" s="23"/>
    </row>
    <row r="87" spans="23:75"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L87" s="10"/>
      <c r="AM87" s="10"/>
      <c r="AN87" s="10"/>
      <c r="AO87" s="10"/>
      <c r="AP87" s="10"/>
      <c r="AQ87" s="10"/>
      <c r="AR87" s="10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S87" s="10"/>
      <c r="BT87" s="11"/>
      <c r="BU87" s="22"/>
      <c r="BV87" s="11"/>
      <c r="BW87" s="23"/>
    </row>
    <row r="88" spans="23:75"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L88" s="10"/>
      <c r="AM88" s="10"/>
      <c r="AN88" s="10"/>
      <c r="AO88" s="10"/>
      <c r="AP88" s="10"/>
      <c r="AQ88" s="10"/>
      <c r="AR88" s="10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S88" s="10"/>
      <c r="BT88" s="11"/>
      <c r="BU88" s="22"/>
      <c r="BV88" s="11"/>
      <c r="BW88" s="23"/>
    </row>
    <row r="89" spans="23:75"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L89" s="10"/>
      <c r="AM89" s="10"/>
      <c r="AN89" s="10"/>
      <c r="AO89" s="10"/>
      <c r="AP89" s="10"/>
      <c r="AQ89" s="10"/>
      <c r="AR89" s="10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S89" s="10"/>
      <c r="BT89" s="11"/>
      <c r="BU89" s="22"/>
      <c r="BV89" s="11"/>
      <c r="BW89" s="23"/>
    </row>
    <row r="90" spans="23:75"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L90" s="10"/>
      <c r="AM90" s="10"/>
      <c r="AN90" s="10"/>
      <c r="AO90" s="10"/>
      <c r="AP90" s="10"/>
      <c r="AQ90" s="10"/>
      <c r="AR90" s="10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S90" s="10"/>
      <c r="BT90" s="11"/>
      <c r="BU90" s="22"/>
      <c r="BV90" s="11"/>
      <c r="BW90" s="23"/>
    </row>
    <row r="91" spans="23:75"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L91" s="10"/>
      <c r="AM91" s="10"/>
      <c r="AN91" s="10"/>
      <c r="AO91" s="10"/>
      <c r="AP91" s="10"/>
      <c r="AQ91" s="10"/>
      <c r="AR91" s="10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S91" s="10"/>
      <c r="BT91" s="11"/>
      <c r="BU91" s="22"/>
      <c r="BV91" s="11"/>
      <c r="BW91" s="23"/>
    </row>
    <row r="92" spans="23:75"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L92" s="10"/>
      <c r="AM92" s="10"/>
      <c r="AN92" s="10"/>
      <c r="AO92" s="10"/>
      <c r="AP92" s="10"/>
      <c r="AQ92" s="10"/>
      <c r="AR92" s="10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S92" s="10"/>
      <c r="BT92" s="11"/>
      <c r="BU92" s="22"/>
      <c r="BV92" s="11"/>
      <c r="BW92" s="23"/>
    </row>
    <row r="93" spans="23:75"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L93" s="10"/>
      <c r="AM93" s="10"/>
      <c r="AN93" s="10"/>
      <c r="AO93" s="10"/>
      <c r="AP93" s="10"/>
      <c r="AQ93" s="10"/>
      <c r="AR93" s="10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S93" s="10"/>
      <c r="BT93" s="11"/>
      <c r="BU93" s="22"/>
      <c r="BV93" s="11"/>
      <c r="BW93" s="23"/>
    </row>
    <row r="94" spans="23:75"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L94" s="10"/>
      <c r="AM94" s="10"/>
      <c r="AN94" s="10"/>
      <c r="AO94" s="10"/>
      <c r="AP94" s="10"/>
      <c r="AQ94" s="10"/>
      <c r="AR94" s="10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S94" s="10"/>
      <c r="BT94" s="11"/>
      <c r="BU94" s="22"/>
      <c r="BV94" s="11"/>
      <c r="BW94" s="23"/>
    </row>
    <row r="95" spans="23:75"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L95" s="10"/>
      <c r="AM95" s="10"/>
      <c r="AN95" s="10"/>
      <c r="AO95" s="10"/>
      <c r="AP95" s="10"/>
      <c r="AQ95" s="10"/>
      <c r="AR95" s="10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S95" s="10"/>
      <c r="BT95" s="11"/>
      <c r="BU95" s="22"/>
      <c r="BV95" s="11"/>
      <c r="BW95" s="23"/>
    </row>
    <row r="96" spans="23:75"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L96" s="10"/>
      <c r="AM96" s="10"/>
      <c r="AN96" s="10"/>
      <c r="AO96" s="10"/>
      <c r="AP96" s="10"/>
      <c r="AQ96" s="10"/>
      <c r="AR96" s="10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S96" s="10"/>
      <c r="BT96" s="11"/>
      <c r="BU96" s="22"/>
      <c r="BV96" s="11"/>
      <c r="BW96" s="23"/>
    </row>
    <row r="97" spans="23:75"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L97" s="10"/>
      <c r="AM97" s="10"/>
      <c r="AN97" s="10"/>
      <c r="AO97" s="10"/>
      <c r="AP97" s="10"/>
      <c r="AQ97" s="10"/>
      <c r="AR97" s="10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S97" s="10"/>
      <c r="BT97" s="11"/>
      <c r="BU97" s="22"/>
      <c r="BV97" s="11"/>
      <c r="BW97" s="23"/>
    </row>
    <row r="98" spans="23:75"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L98" s="10"/>
      <c r="AM98" s="10"/>
      <c r="AN98" s="10"/>
      <c r="AO98" s="10"/>
      <c r="AP98" s="10"/>
      <c r="AQ98" s="10"/>
      <c r="AR98" s="10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S98" s="10"/>
      <c r="BT98" s="11"/>
      <c r="BU98" s="22"/>
      <c r="BV98" s="11"/>
      <c r="BW98" s="23"/>
    </row>
    <row r="99" spans="23:75"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L99" s="10"/>
      <c r="AM99" s="10"/>
      <c r="AN99" s="10"/>
      <c r="AO99" s="10"/>
      <c r="AP99" s="10"/>
      <c r="AQ99" s="10"/>
      <c r="AR99" s="10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S99" s="10"/>
      <c r="BT99" s="11"/>
      <c r="BU99" s="22"/>
      <c r="BV99" s="11"/>
      <c r="BW99" s="23"/>
    </row>
    <row r="100" spans="23:75"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L100" s="10"/>
      <c r="AM100" s="10"/>
      <c r="AN100" s="10"/>
      <c r="AO100" s="10"/>
      <c r="AP100" s="10"/>
      <c r="AQ100" s="10"/>
      <c r="AR100" s="10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S100" s="10"/>
      <c r="BT100" s="11"/>
      <c r="BU100" s="22"/>
      <c r="BV100" s="11"/>
      <c r="BW100" s="23"/>
    </row>
    <row r="101" spans="23:75"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L101" s="10"/>
      <c r="AM101" s="10"/>
      <c r="AN101" s="10"/>
      <c r="AO101" s="10"/>
      <c r="AP101" s="10"/>
      <c r="AQ101" s="10"/>
      <c r="AR101" s="10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S101" s="10"/>
      <c r="BT101" s="11"/>
      <c r="BU101" s="22"/>
      <c r="BV101" s="11"/>
      <c r="BW101" s="23"/>
    </row>
    <row r="102" spans="23:75"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L102" s="10"/>
      <c r="AM102" s="10"/>
      <c r="AN102" s="10"/>
      <c r="AO102" s="10"/>
      <c r="AP102" s="10"/>
      <c r="AQ102" s="10"/>
      <c r="AR102" s="10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S102" s="10"/>
      <c r="BT102" s="11"/>
      <c r="BU102" s="22"/>
      <c r="BV102" s="11"/>
      <c r="BW102" s="23"/>
    </row>
    <row r="103" spans="23:75"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L103" s="10"/>
      <c r="AM103" s="10"/>
      <c r="AN103" s="10"/>
      <c r="AO103" s="10"/>
      <c r="AP103" s="10"/>
      <c r="AQ103" s="10"/>
      <c r="AR103" s="10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S103" s="10"/>
      <c r="BT103" s="11"/>
      <c r="BU103" s="22"/>
      <c r="BV103" s="11"/>
      <c r="BW103" s="23"/>
    </row>
    <row r="104" spans="23:75"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L104" s="10"/>
      <c r="AM104" s="10"/>
      <c r="AN104" s="10"/>
      <c r="AO104" s="10"/>
      <c r="AP104" s="10"/>
      <c r="AQ104" s="10"/>
      <c r="AR104" s="10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S104" s="10"/>
      <c r="BT104" s="11"/>
      <c r="BU104" s="22"/>
      <c r="BV104" s="11"/>
      <c r="BW104" s="23"/>
    </row>
    <row r="105" spans="23:75"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L105" s="10"/>
      <c r="AM105" s="10"/>
      <c r="AN105" s="10"/>
      <c r="AO105" s="10"/>
      <c r="AP105" s="10"/>
      <c r="AQ105" s="10"/>
      <c r="AR105" s="10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S105" s="10"/>
      <c r="BT105" s="11"/>
      <c r="BU105" s="22"/>
      <c r="BV105" s="11"/>
      <c r="BW105" s="23"/>
    </row>
    <row r="106" spans="23:75"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L106" s="10"/>
      <c r="AM106" s="10"/>
      <c r="AN106" s="10"/>
      <c r="AO106" s="10"/>
      <c r="AP106" s="10"/>
      <c r="AQ106" s="10"/>
      <c r="AR106" s="10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S106" s="10"/>
      <c r="BT106" s="11"/>
      <c r="BU106" s="22"/>
      <c r="BV106" s="11"/>
      <c r="BW106" s="23"/>
    </row>
    <row r="107" spans="23:75"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L107" s="10"/>
      <c r="AM107" s="10"/>
      <c r="AN107" s="10"/>
      <c r="AO107" s="10"/>
      <c r="AP107" s="10"/>
      <c r="AQ107" s="10"/>
      <c r="AR107" s="10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S107" s="10"/>
      <c r="BT107" s="11"/>
      <c r="BU107" s="22"/>
      <c r="BV107" s="11"/>
      <c r="BW107" s="23"/>
    </row>
    <row r="108" spans="23:75"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L108" s="10"/>
      <c r="AM108" s="10"/>
      <c r="AN108" s="10"/>
      <c r="AO108" s="10"/>
      <c r="AP108" s="10"/>
      <c r="AQ108" s="10"/>
      <c r="AR108" s="10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S108" s="10"/>
      <c r="BT108" s="11"/>
      <c r="BU108" s="22"/>
      <c r="BV108" s="11"/>
      <c r="BW108" s="23"/>
    </row>
    <row r="109" spans="23:75"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L109" s="10"/>
      <c r="AM109" s="10"/>
      <c r="AN109" s="10"/>
      <c r="AO109" s="10"/>
      <c r="AP109" s="10"/>
      <c r="AQ109" s="10"/>
      <c r="AR109" s="10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S109" s="10"/>
      <c r="BT109" s="11"/>
      <c r="BU109" s="22"/>
      <c r="BV109" s="11"/>
      <c r="BW109" s="23"/>
    </row>
    <row r="110" spans="23:75"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L110" s="10"/>
      <c r="AM110" s="10"/>
      <c r="AN110" s="10"/>
      <c r="AO110" s="10"/>
      <c r="AP110" s="10"/>
      <c r="AQ110" s="10"/>
      <c r="AR110" s="10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S110" s="10"/>
      <c r="BT110" s="11"/>
      <c r="BU110" s="22"/>
      <c r="BV110" s="11"/>
      <c r="BW110" s="23"/>
    </row>
    <row r="111" spans="23:75"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L111" s="10"/>
      <c r="AM111" s="10"/>
      <c r="AN111" s="10"/>
      <c r="AO111" s="10"/>
      <c r="AP111" s="10"/>
      <c r="AQ111" s="10"/>
      <c r="AR111" s="10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S111" s="10"/>
      <c r="BT111" s="11"/>
      <c r="BU111" s="22"/>
      <c r="BV111" s="11"/>
      <c r="BW111" s="23"/>
    </row>
    <row r="112" spans="23:75"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L112" s="10"/>
      <c r="AM112" s="10"/>
      <c r="AN112" s="10"/>
      <c r="AO112" s="10"/>
      <c r="AP112" s="10"/>
      <c r="AQ112" s="10"/>
      <c r="AR112" s="10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S112" s="10"/>
      <c r="BT112" s="11"/>
      <c r="BU112" s="22"/>
      <c r="BV112" s="11"/>
      <c r="BW112" s="23"/>
    </row>
    <row r="113" spans="23:75"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L113" s="10"/>
      <c r="AM113" s="10"/>
      <c r="AN113" s="10"/>
      <c r="AO113" s="10"/>
      <c r="AP113" s="10"/>
      <c r="AQ113" s="10"/>
      <c r="AR113" s="10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S113" s="10"/>
      <c r="BT113" s="11"/>
      <c r="BU113" s="22"/>
      <c r="BV113" s="11"/>
      <c r="BW113" s="23"/>
    </row>
    <row r="114" spans="23:75"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L114" s="10"/>
      <c r="AM114" s="10"/>
      <c r="AN114" s="10"/>
      <c r="AO114" s="10"/>
      <c r="AP114" s="10"/>
      <c r="AQ114" s="10"/>
      <c r="AR114" s="10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S114" s="10"/>
      <c r="BT114" s="11"/>
      <c r="BU114" s="22"/>
      <c r="BV114" s="11"/>
      <c r="BW114" s="23"/>
    </row>
    <row r="115" spans="23:75"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L115" s="10"/>
      <c r="AM115" s="10"/>
      <c r="AN115" s="10"/>
      <c r="AO115" s="10"/>
      <c r="AP115" s="10"/>
      <c r="AQ115" s="10"/>
      <c r="AR115" s="10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S115" s="10"/>
      <c r="BT115" s="11"/>
      <c r="BU115" s="22"/>
      <c r="BV115" s="11"/>
      <c r="BW115" s="23"/>
    </row>
    <row r="116" spans="23:75"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L116" s="10"/>
      <c r="AM116" s="10"/>
      <c r="AN116" s="10"/>
      <c r="AO116" s="10"/>
      <c r="AP116" s="10"/>
      <c r="AQ116" s="10"/>
      <c r="AR116" s="10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S116" s="10"/>
      <c r="BT116" s="11"/>
      <c r="BU116" s="22"/>
      <c r="BV116" s="11"/>
      <c r="BW116" s="23"/>
    </row>
    <row r="117" spans="23:75"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L117" s="10"/>
      <c r="AM117" s="10"/>
      <c r="AN117" s="10"/>
      <c r="AO117" s="10"/>
      <c r="AP117" s="10"/>
      <c r="AQ117" s="10"/>
      <c r="AR117" s="10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S117" s="10"/>
      <c r="BT117" s="11"/>
      <c r="BU117" s="22"/>
      <c r="BV117" s="11"/>
      <c r="BW117" s="23"/>
    </row>
    <row r="118" spans="23:75"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L118" s="10"/>
      <c r="AM118" s="10"/>
      <c r="AN118" s="10"/>
      <c r="AO118" s="10"/>
      <c r="AP118" s="10"/>
      <c r="AQ118" s="10"/>
      <c r="AR118" s="10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S118" s="10"/>
      <c r="BT118" s="11"/>
      <c r="BU118" s="22"/>
      <c r="BV118" s="11"/>
      <c r="BW118" s="23"/>
    </row>
    <row r="119" spans="23:75"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L119" s="10"/>
      <c r="AM119" s="10"/>
      <c r="AN119" s="10"/>
      <c r="AO119" s="10"/>
      <c r="AP119" s="10"/>
      <c r="AQ119" s="10"/>
      <c r="AR119" s="10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S119" s="10"/>
      <c r="BT119" s="11"/>
      <c r="BU119" s="22"/>
      <c r="BV119" s="11"/>
      <c r="BW119" s="23"/>
    </row>
    <row r="120" spans="23:75"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L120" s="10"/>
      <c r="AM120" s="10"/>
      <c r="AN120" s="10"/>
      <c r="AO120" s="10"/>
      <c r="AP120" s="10"/>
      <c r="AQ120" s="10"/>
      <c r="AR120" s="10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S120" s="10"/>
      <c r="BT120" s="11"/>
      <c r="BU120" s="22"/>
      <c r="BV120" s="11"/>
      <c r="BW120" s="23"/>
    </row>
    <row r="121" spans="23:75"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L121" s="10"/>
      <c r="AM121" s="10"/>
      <c r="AN121" s="10"/>
      <c r="AO121" s="10"/>
      <c r="AP121" s="10"/>
      <c r="AQ121" s="10"/>
      <c r="AR121" s="10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S121" s="10"/>
      <c r="BT121" s="11"/>
      <c r="BU121" s="22"/>
      <c r="BV121" s="11"/>
      <c r="BW121" s="23"/>
    </row>
    <row r="122" spans="23:75"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L122" s="10"/>
      <c r="AM122" s="10"/>
      <c r="AN122" s="10"/>
      <c r="AO122" s="10"/>
      <c r="AP122" s="10"/>
      <c r="AQ122" s="10"/>
      <c r="AR122" s="10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S122" s="10"/>
      <c r="BT122" s="11"/>
      <c r="BU122" s="22"/>
      <c r="BV122" s="11"/>
      <c r="BW122" s="23"/>
    </row>
    <row r="123" spans="23:75"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L123" s="10"/>
      <c r="AM123" s="10"/>
      <c r="AN123" s="10"/>
      <c r="AO123" s="10"/>
      <c r="AP123" s="10"/>
      <c r="AQ123" s="10"/>
      <c r="AR123" s="10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S123" s="10"/>
      <c r="BT123" s="11"/>
      <c r="BU123" s="22"/>
      <c r="BV123" s="11"/>
      <c r="BW123" s="23"/>
    </row>
    <row r="124" spans="23:75"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L124" s="10"/>
      <c r="AM124" s="10"/>
      <c r="AN124" s="10"/>
      <c r="AO124" s="10"/>
      <c r="AP124" s="10"/>
      <c r="AQ124" s="10"/>
      <c r="AR124" s="10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S124" s="10"/>
      <c r="BT124" s="11"/>
      <c r="BU124" s="22"/>
      <c r="BV124" s="11"/>
      <c r="BW124" s="23"/>
    </row>
    <row r="125" spans="23:75"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L125" s="10"/>
      <c r="AM125" s="10"/>
      <c r="AN125" s="10"/>
      <c r="AO125" s="10"/>
      <c r="AP125" s="10"/>
      <c r="AQ125" s="10"/>
      <c r="AR125" s="10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S125" s="10"/>
      <c r="BT125" s="11"/>
      <c r="BU125" s="22"/>
      <c r="BV125" s="11"/>
      <c r="BW125" s="23"/>
    </row>
    <row r="126" spans="23:75"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L126" s="10"/>
      <c r="AM126" s="10"/>
      <c r="AN126" s="10"/>
      <c r="AO126" s="10"/>
      <c r="AP126" s="10"/>
      <c r="AQ126" s="10"/>
      <c r="AR126" s="10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S126" s="10"/>
      <c r="BT126" s="11"/>
      <c r="BU126" s="22"/>
      <c r="BV126" s="11"/>
      <c r="BW126" s="23"/>
    </row>
    <row r="127" spans="23:75"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L127" s="10"/>
      <c r="AM127" s="10"/>
      <c r="AN127" s="10"/>
      <c r="AO127" s="10"/>
      <c r="AP127" s="10"/>
      <c r="AQ127" s="10"/>
      <c r="AR127" s="10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S127" s="10"/>
      <c r="BT127" s="11"/>
      <c r="BU127" s="22"/>
      <c r="BV127" s="11"/>
      <c r="BW127" s="23"/>
    </row>
    <row r="128" spans="23:75"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L128" s="10"/>
      <c r="AM128" s="10"/>
      <c r="AN128" s="10"/>
      <c r="AO128" s="10"/>
      <c r="AP128" s="10"/>
      <c r="AQ128" s="10"/>
      <c r="AR128" s="10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S128" s="10"/>
      <c r="BT128" s="11"/>
      <c r="BU128" s="22"/>
      <c r="BV128" s="11"/>
      <c r="BW128" s="23"/>
    </row>
    <row r="129" spans="23:75"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L129" s="10"/>
      <c r="AM129" s="10"/>
      <c r="AN129" s="10"/>
      <c r="AO129" s="10"/>
      <c r="AP129" s="10"/>
      <c r="AQ129" s="10"/>
      <c r="AR129" s="10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S129" s="10"/>
      <c r="BT129" s="11"/>
      <c r="BU129" s="22"/>
      <c r="BV129" s="11"/>
      <c r="BW129" s="23"/>
    </row>
    <row r="130" spans="23:75"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L130" s="10"/>
      <c r="AM130" s="10"/>
      <c r="AN130" s="10"/>
      <c r="AO130" s="10"/>
      <c r="AP130" s="10"/>
      <c r="AQ130" s="10"/>
      <c r="AR130" s="10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S130" s="10"/>
      <c r="BT130" s="11"/>
      <c r="BU130" s="22"/>
      <c r="BV130" s="11"/>
      <c r="BW130" s="23"/>
    </row>
    <row r="131" spans="23:75"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L131" s="10"/>
      <c r="AM131" s="10"/>
      <c r="AN131" s="10"/>
      <c r="AO131" s="10"/>
      <c r="AP131" s="10"/>
      <c r="AQ131" s="10"/>
      <c r="AR131" s="10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S131" s="10"/>
      <c r="BT131" s="11"/>
      <c r="BU131" s="22"/>
      <c r="BV131" s="11"/>
      <c r="BW131" s="23"/>
    </row>
    <row r="132" spans="23:75"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L132" s="10"/>
      <c r="AM132" s="10"/>
      <c r="AN132" s="10"/>
      <c r="AO132" s="10"/>
      <c r="AP132" s="10"/>
      <c r="AQ132" s="10"/>
      <c r="AR132" s="10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S132" s="10"/>
      <c r="BT132" s="11"/>
      <c r="BU132" s="22"/>
      <c r="BV132" s="11"/>
      <c r="BW132" s="23"/>
    </row>
    <row r="133" spans="23:75"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L133" s="10"/>
      <c r="AM133" s="10"/>
      <c r="AN133" s="10"/>
      <c r="AO133" s="10"/>
      <c r="AP133" s="10"/>
      <c r="AQ133" s="10"/>
      <c r="AR133" s="10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S133" s="10"/>
      <c r="BT133" s="11"/>
      <c r="BU133" s="22"/>
      <c r="BV133" s="11"/>
      <c r="BW133" s="23"/>
    </row>
    <row r="134" spans="23:75">
      <c r="BT134" s="23"/>
    </row>
  </sheetData>
  <mergeCells count="12">
    <mergeCell ref="K16:Q16"/>
    <mergeCell ref="D16:J16"/>
    <mergeCell ref="BY13:BZ13"/>
    <mergeCell ref="A13:Q13"/>
    <mergeCell ref="S13:U13"/>
    <mergeCell ref="W13:AJ13"/>
    <mergeCell ref="AL13:AR13"/>
    <mergeCell ref="AS13:AY13"/>
    <mergeCell ref="BA13:BH13"/>
    <mergeCell ref="BJ13:BK13"/>
    <mergeCell ref="BM13:BO13"/>
    <mergeCell ref="BQ13:BW13"/>
  </mergeCells>
  <pageMargins left="0.7" right="0.7" top="0.75" bottom="0.75" header="0.3" footer="0.3"/>
  <pageSetup orientation="portrait" horizontalDpi="300" verticalDpi="300" r:id="rId1"/>
  <headerFooter>
    <oddHeader>&amp;R&amp;"Calibri"&amp;10&amp;K000000 Control Disclosure&amp;1#_x000D_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0C53D-4D5F-4B01-A4E7-F7F3907C65E8}">
  <sheetPr codeName="Sheet34"/>
  <dimension ref="A1:Z130"/>
  <sheetViews>
    <sheetView topLeftCell="A97" zoomScale="85" zoomScaleNormal="85" workbookViewId="0">
      <selection activeCell="N136" sqref="N136"/>
    </sheetView>
  </sheetViews>
  <sheetFormatPr defaultRowHeight="14.5"/>
  <cols>
    <col min="1" max="2" width="15" customWidth="1"/>
    <col min="3" max="3" width="1.26953125" customWidth="1"/>
    <col min="4" max="4" width="19.1796875" bestFit="1" customWidth="1"/>
    <col min="5" max="5" width="1.26953125" customWidth="1"/>
    <col min="6" max="9" width="23.453125" customWidth="1"/>
    <col min="10" max="10" width="1.26953125" customWidth="1"/>
    <col min="12" max="14" width="15.36328125" customWidth="1"/>
    <col min="15" max="15" width="1.36328125" customWidth="1"/>
    <col min="16" max="18" width="15.36328125" customWidth="1"/>
    <col min="19" max="19" width="1.36328125" customWidth="1"/>
    <col min="20" max="22" width="12.453125" customWidth="1"/>
    <col min="23" max="23" width="1.1796875" customWidth="1"/>
    <col min="24" max="24" width="10.81640625" bestFit="1" customWidth="1"/>
    <col min="25" max="25" width="9.81640625" bestFit="1" customWidth="1"/>
    <col min="26" max="26" width="10.81640625" bestFit="1" customWidth="1"/>
  </cols>
  <sheetData>
    <row r="1" spans="1:26">
      <c r="A1" t="str" cm="1">
        <f t="array" aca="1" ref="A1" ca="1">CELL("filename",A1)</f>
        <v>C:\Sync\git_hub\vba_samplicity\[01_magnus_premres.xlsm]Summary</v>
      </c>
    </row>
    <row r="2" spans="1:26">
      <c r="A2" s="14" t="s">
        <v>256</v>
      </c>
    </row>
    <row r="3" spans="1:26">
      <c r="A3" s="14" t="s">
        <v>259</v>
      </c>
    </row>
    <row r="5" spans="1:26">
      <c r="F5" s="88">
        <v>2</v>
      </c>
      <c r="G5" s="88">
        <v>3</v>
      </c>
      <c r="H5" s="88">
        <v>4</v>
      </c>
    </row>
    <row r="7" spans="1:26">
      <c r="D7" s="45" t="s">
        <v>141</v>
      </c>
      <c r="F7" s="45" t="s">
        <v>207</v>
      </c>
      <c r="G7" s="45" t="s">
        <v>208</v>
      </c>
      <c r="H7" s="45" t="s">
        <v>233</v>
      </c>
    </row>
    <row r="8" spans="1:26">
      <c r="D8" s="80">
        <v>111</v>
      </c>
      <c r="F8" s="81" cm="1">
        <f t="array" ref="F8">IF(INDEX(_xlfn.ANCHORARRAY($F$14),$D$8,F$5)="__overall__",1,INDEX(_xlfn.ANCHORARRAY($F$14),$D$8,F$5))</f>
        <v>1</v>
      </c>
      <c r="G8" s="81" t="str" cm="1">
        <f t="array" ref="G8">IF(INDEX(_xlfn.ANCHORARRAY($F$14),$D$8,G$5)="__overall__","*",INDEX(_xlfn.ANCHORARRAY($F$14),$D$8,G$5))</f>
        <v>*</v>
      </c>
      <c r="H8" s="81" t="str" cm="1">
        <f t="array" ref="H8">INDEX(_xlfn.ANCHORARRAY($F$14),$D$8,H$5)</f>
        <v>calculated net charge</v>
      </c>
    </row>
    <row r="9" spans="1:26">
      <c r="L9" s="47"/>
      <c r="M9" s="47"/>
      <c r="N9" s="47"/>
      <c r="P9" s="47"/>
      <c r="Q9" s="47"/>
      <c r="R9" s="47"/>
      <c r="T9" s="47"/>
      <c r="U9" s="47"/>
      <c r="V9" s="47"/>
      <c r="X9" s="47"/>
      <c r="Y9" s="47"/>
      <c r="Z9" s="47"/>
    </row>
    <row r="10" spans="1:26">
      <c r="A10" s="130" t="s">
        <v>260</v>
      </c>
      <c r="B10" s="132"/>
      <c r="D10" s="54" t="s">
        <v>221</v>
      </c>
      <c r="F10" s="130" t="s">
        <v>261</v>
      </c>
      <c r="G10" s="131"/>
      <c r="H10" s="131"/>
      <c r="I10" s="132"/>
      <c r="K10" s="130" t="s">
        <v>252</v>
      </c>
      <c r="L10" s="131"/>
      <c r="M10" s="131"/>
      <c r="N10" s="132"/>
      <c r="P10" s="130" t="s">
        <v>253</v>
      </c>
      <c r="Q10" s="131"/>
      <c r="R10" s="132"/>
      <c r="T10" s="130" t="s">
        <v>254</v>
      </c>
      <c r="U10" s="131"/>
      <c r="V10" s="132"/>
      <c r="X10" s="142" t="s">
        <v>255</v>
      </c>
      <c r="Y10" s="143"/>
      <c r="Z10" s="144"/>
    </row>
    <row r="12" spans="1:26">
      <c r="L12" s="54" t="s">
        <v>209</v>
      </c>
      <c r="M12" s="54" t="s">
        <v>210</v>
      </c>
      <c r="N12" s="54" t="s">
        <v>203</v>
      </c>
      <c r="P12" s="54" t="s">
        <v>209</v>
      </c>
      <c r="Q12" s="54" t="s">
        <v>210</v>
      </c>
      <c r="R12" s="54" t="s">
        <v>203</v>
      </c>
      <c r="T12" s="54" t="s">
        <v>209</v>
      </c>
      <c r="U12" s="54" t="s">
        <v>210</v>
      </c>
      <c r="V12" s="54" t="s">
        <v>203</v>
      </c>
      <c r="X12" s="54" t="s">
        <v>209</v>
      </c>
      <c r="Y12" s="54" t="s">
        <v>210</v>
      </c>
      <c r="Z12" s="54" t="s">
        <v>203</v>
      </c>
    </row>
    <row r="13" spans="1:26">
      <c r="A13" s="79" t="s">
        <v>207</v>
      </c>
      <c r="B13" s="79" t="s">
        <v>208</v>
      </c>
      <c r="D13" s="79" t="s">
        <v>221</v>
      </c>
      <c r="F13" s="79" t="s">
        <v>211</v>
      </c>
      <c r="G13" s="79" t="s">
        <v>207</v>
      </c>
      <c r="H13" s="79" t="s">
        <v>208</v>
      </c>
      <c r="I13" s="79" t="s">
        <v>233</v>
      </c>
      <c r="K13" s="10"/>
      <c r="L13" s="98" cm="1">
        <f t="array" ref="L13:N13">TRANSPOSE('PremRes Replication'!$BZ$23:$BZ$25)</f>
        <v>18661487.13870424</v>
      </c>
      <c r="M13" s="98">
        <v>7080460.6933393534</v>
      </c>
      <c r="N13" s="98">
        <v>23121389.475048158</v>
      </c>
    </row>
    <row r="14" spans="1:26">
      <c r="A14" s="3" cm="1">
        <f t="array" ref="A14:B26">_xlfn.LET(
    _xlpm.division1, _xlfn.UNIQUE(tPremRes[level_1]),
    _xlpm.division2, _xlfn.UNIQUE(tPremRes[level_2]),
    _xlpm.div_1_filt, _xlfn._xlws.FILTER(_xlpm.division1,_xlpm.division1&lt;&gt;0),
    _xlpm.div_2_filt, _xlfn._xlws.FILTER(_xlpm.division2,_xlpm.division2&lt;&gt;0),
        _xlfn.VSTACK(
            _xlfn.HSTACK(_xlfn.SEQUENCE(ROWS(_xlpm.div_1_filt), 1, 1, 0), _xlpm.div_1_filt),
            _xlfn.HSTACK(_xlfn.SEQUENCE(ROWS(_xlpm.div_2_filt), 1, 2, 0), _xlpm.div_2_filt),
            {"__overall__","__overall__"}
        )
)</f>
        <v>1</v>
      </c>
      <c r="B14" s="3" t="str">
        <v>direct</v>
      </c>
      <c r="D14" s="124" t="str" cm="1">
        <f t="array" ref="D14:D22">_xlfn.VSTACK("gross charge","net charge","calculated net charge",_xlfn.UNIQUE(tReinsurance[counterparty_id]))</f>
        <v>gross charge</v>
      </c>
      <c r="F14" s="3" cm="1">
        <f t="array" ref="F14:I130">_xlfn.LET(
_xlpm.divisions,_xlfn.ANCHORARRAY(A14),_xlpm.reinsurance,_xlfn.ANCHORARRAY(D14),_xlpm.row_div,ROWS(_xlpm.divisions),_xlpm.row_ri,ROWS(_xlpm.reinsurance),_xlpm.calc_count,_xlfn.SEQUENCE(_xlpm.row_div*_xlpm.row_ri,1,1,1),
_xlfn.MAKEARRAY(_xlpm.row_div*_xlpm.row_ri, 4,
_xlfn.LAMBDA(_xlpm.r,_xlpm.c, _xlfn.IFS(
    _xlpm.c=1,INDEX(_xlpm.calc_count,_xlpm.r,1),
    _xlpm.c&lt;4, INDEX(_xlpm.divisions, INT((_xlpm.r-1)/_xlpm.row_ri)+1,_xlpm.c-1),
    TRUE, INDEX(_xlpm.reinsurance, MOD(_xlpm.r-1,_xlpm.row_ri)+1,0) )
   ) ) )</f>
        <v>1</v>
      </c>
      <c r="G14" s="3">
        <v>1</v>
      </c>
      <c r="H14" s="3" t="str">
        <v>direct</v>
      </c>
      <c r="I14" s="3" t="str">
        <v>gross charge</v>
      </c>
      <c r="K14" s="12" cm="1">
        <f t="array" ref="K14:K130">INDEX(_xlfn.ANCHORARRAY(F14),0,1)</f>
        <v>1</v>
      </c>
      <c r="L14" s="12">
        <f t="dataTable" ref="L14:N130" dt2D="0" dtr="0" r1="D8"/>
        <v>12167463.779312814</v>
      </c>
      <c r="M14" s="12">
        <v>4189174.4311242467</v>
      </c>
      <c r="N14" s="12">
        <v>14725348.208060641</v>
      </c>
      <c r="O14" s="10"/>
      <c r="P14" s="12">
        <f t="shared" ref="P14:P77" si="0">IF(OR($I14="gross charge",$I14="net charge",$I14="calculated net charge"),L14,L14-SUMIFS(L$14:L$130,$G$14:$G$130,$G14,$H$14:$H$130,$H14,$I$14:$I$130,"calculated net charge"))</f>
        <v>12167463.779312814</v>
      </c>
      <c r="Q14" s="12">
        <f t="shared" ref="Q14:Q16" si="1">IF(OR($I14="gross charge",$I14="net charge",$I14="calculated net charge"),M14,M14-SUMIFS(M$14:M$130,$G$14:$G$130,$G14,$H$14:$H$130,$H14,$I$14:$I$130,"calculated net charge"))</f>
        <v>4189174.4311242467</v>
      </c>
      <c r="R14" s="12">
        <f t="shared" ref="R14:R77" si="2">IF(OR($I14="gross charge",$I14="net charge",$I14="calculated net charge"),N14,N14-SUMIFS(N$14:N$130,$G$14:$G$130,$G14,$H$14:$H$130,$H14,$I$14:$I$130,"calculated net charge"))</f>
        <v>14725348.208060641</v>
      </c>
      <c r="S14" s="11"/>
      <c r="T14" s="12" cm="1">
        <f t="array" ref="T14">_xlfn.IFS($G14="__overall__",
SUMIFS(PremRes!$G$8:$G$208,PremRes!$B$8:$B$208,$G14,PremRes!$C$8:$C$208,$H14,PremRes!$F$8:$F$208,$I14,PremRes!$D$8:$D$208,T$12),
TRUE,
SUMIFS(PremRes!$G$8:$G$208,PremRes!$B$8:$B$208,"level_"&amp;$G14,PremRes!$C$8:$C$208,$H14,PremRes!$F$8:$F$208,$I14,PremRes!$D$8:$D$208,T$12))</f>
        <v>12167463.779312814</v>
      </c>
      <c r="U14" s="12" cm="1">
        <f t="array" ref="U14">_xlfn.IFS($G14="__overall__",
SUMIFS(PremRes!$G$8:$G$208,PremRes!$B$8:$B$208,$G14,PremRes!$C$8:$C$208,$H14,PremRes!$F$8:$F$208,$I14,PremRes!$D$8:$D$208,U$12),
TRUE,
SUMIFS(PremRes!$G$8:$G$208,PremRes!$B$8:$B$208,"level_"&amp;$G14,PremRes!$C$8:$C$208,$H14,PremRes!$F$8:$F$208,$I14,PremRes!$D$8:$D$208,U$12))</f>
        <v>4189174.4311242467</v>
      </c>
      <c r="V14" s="12" cm="1">
        <f t="array" ref="V14">_xlfn.IFS($G14="__overall__",
SUMIFS(PremRes!$G$8:$G$208,PremRes!$B$8:$B$208,$G14,PremRes!$C$8:$C$208,$H14,PremRes!$F$8:$F$208,$I14,PremRes!$D$8:$D$208,V$12),
TRUE,
SUMIFS(PremRes!$G$8:$G$208,PremRes!$B$8:$B$208,"level_"&amp;$G14,PremRes!$C$8:$C$208,$H14,PremRes!$F$8:$F$208,$I14,PremRes!$D$8:$D$208,V$12))</f>
        <v>14725348.208060637</v>
      </c>
      <c r="X14" s="99">
        <f>P14-T14</f>
        <v>0</v>
      </c>
      <c r="Y14" s="99">
        <f t="shared" ref="Y14:Y77" si="3">Q14-U14</f>
        <v>0</v>
      </c>
      <c r="Z14" s="99">
        <f t="shared" ref="Z14:Z77" si="4">R14-V14</f>
        <v>0</v>
      </c>
    </row>
    <row r="15" spans="1:26">
      <c r="A15" s="4">
        <v>1</v>
      </c>
      <c r="B15" s="4" t="str">
        <v>intermediated</v>
      </c>
      <c r="D15" s="125" t="str">
        <v>net charge</v>
      </c>
      <c r="F15" s="4">
        <v>2</v>
      </c>
      <c r="G15" s="4">
        <v>1</v>
      </c>
      <c r="H15" s="4" t="str">
        <v>direct</v>
      </c>
      <c r="I15" s="4" t="str">
        <v>net charge</v>
      </c>
      <c r="K15" s="13">
        <v>2</v>
      </c>
      <c r="L15" s="13">
        <v>10886038.340626244</v>
      </c>
      <c r="M15" s="13">
        <v>3736552.4817765839</v>
      </c>
      <c r="N15" s="13">
        <v>13166346.451718971</v>
      </c>
      <c r="O15" s="10"/>
      <c r="P15" s="13">
        <f t="shared" si="0"/>
        <v>10886038.340626244</v>
      </c>
      <c r="Q15" s="13">
        <f t="shared" si="1"/>
        <v>3736552.4817765839</v>
      </c>
      <c r="R15" s="13">
        <f t="shared" si="2"/>
        <v>13166346.451718971</v>
      </c>
      <c r="S15" s="11"/>
      <c r="T15" s="13" cm="1">
        <f t="array" ref="T15">_xlfn.IFS($G15="__overall__",
SUMIFS(PremRes!$G$8:$G$208,PremRes!$B$8:$B$208,$G15,PremRes!$C$8:$C$208,$H15,PremRes!$F$8:$F$208,$I15,PremRes!$D$8:$D$208,T$12),
TRUE,
SUMIFS(PremRes!$G$8:$G$208,PremRes!$B$8:$B$208,"level_"&amp;$G15,PremRes!$C$8:$C$208,$H15,PremRes!$F$8:$F$208,$I15,PremRes!$D$8:$D$208,T$12))</f>
        <v>10886038.340626245</v>
      </c>
      <c r="U15" s="13" cm="1">
        <f t="array" ref="U15">_xlfn.IFS($G15="__overall__",
SUMIFS(PremRes!$G$8:$G$208,PremRes!$B$8:$B$208,$G15,PremRes!$C$8:$C$208,$H15,PremRes!$F$8:$F$208,$I15,PremRes!$D$8:$D$208,U$12),
TRUE,
SUMIFS(PremRes!$G$8:$G$208,PremRes!$B$8:$B$208,"level_"&amp;$G15,PremRes!$C$8:$C$208,$H15,PremRes!$F$8:$F$208,$I15,PremRes!$D$8:$D$208,U$12))</f>
        <v>3736552.4817765839</v>
      </c>
      <c r="V15" s="13" cm="1">
        <f t="array" ref="V15">_xlfn.IFS($G15="__overall__",
SUMIFS(PremRes!$G$8:$G$208,PremRes!$B$8:$B$208,$G15,PremRes!$C$8:$C$208,$H15,PremRes!$F$8:$F$208,$I15,PremRes!$D$8:$D$208,V$12),
TRUE,
SUMIFS(PremRes!$G$8:$G$208,PremRes!$B$8:$B$208,"level_"&amp;$G15,PremRes!$C$8:$C$208,$H15,PremRes!$F$8:$F$208,$I15,PremRes!$D$8:$D$208,V$12))</f>
        <v>13166346.451718971</v>
      </c>
      <c r="X15" s="100">
        <f t="shared" ref="X15:X78" si="5">P15-T15</f>
        <v>0</v>
      </c>
      <c r="Y15" s="100">
        <f t="shared" si="3"/>
        <v>0</v>
      </c>
      <c r="Z15" s="100">
        <f t="shared" si="4"/>
        <v>0</v>
      </c>
    </row>
    <row r="16" spans="1:26">
      <c r="A16" s="4">
        <v>1</v>
      </c>
      <c r="B16" s="4" t="str">
        <v>specialised</v>
      </c>
      <c r="D16" s="125" t="str">
        <v>calculated net charge</v>
      </c>
      <c r="F16" s="4">
        <v>3</v>
      </c>
      <c r="G16" s="4">
        <v>1</v>
      </c>
      <c r="H16" s="4" t="str">
        <v>direct</v>
      </c>
      <c r="I16" s="4" t="str">
        <v>calculated net charge</v>
      </c>
      <c r="K16" s="13">
        <v>3</v>
      </c>
      <c r="L16" s="13">
        <v>11000294.119697988</v>
      </c>
      <c r="M16" s="13">
        <v>3775510.9488528194</v>
      </c>
      <c r="N16" s="13">
        <v>13304393.666804044</v>
      </c>
      <c r="O16" s="10"/>
      <c r="P16" s="13">
        <f t="shared" si="0"/>
        <v>11000294.119697988</v>
      </c>
      <c r="Q16" s="13">
        <f t="shared" si="1"/>
        <v>3775510.9488528194</v>
      </c>
      <c r="R16" s="13">
        <f t="shared" si="2"/>
        <v>13304393.666804044</v>
      </c>
      <c r="S16" s="11"/>
      <c r="T16" s="13" cm="1">
        <f t="array" ref="T16">_xlfn.IFS($G16="__overall__",
SUMIFS(PremRes!$G$8:$G$208,PremRes!$B$8:$B$208,$G16,PremRes!$C$8:$C$208,$H16,PremRes!$F$8:$F$208,$I16,PremRes!$D$8:$D$208,T$12),
TRUE,
SUMIFS(PremRes!$G$8:$G$208,PremRes!$B$8:$B$208,"level_"&amp;$G16,PremRes!$C$8:$C$208,$H16,PremRes!$F$8:$F$208,$I16,PremRes!$D$8:$D$208,T$12))</f>
        <v>11000294.119697988</v>
      </c>
      <c r="U16" s="13" cm="1">
        <f t="array" ref="U16">_xlfn.IFS($G16="__overall__",
SUMIFS(PremRes!$G$8:$G$208,PremRes!$B$8:$B$208,$G16,PremRes!$C$8:$C$208,$H16,PremRes!$F$8:$F$208,$I16,PremRes!$D$8:$D$208,U$12),
TRUE,
SUMIFS(PremRes!$G$8:$G$208,PremRes!$B$8:$B$208,"level_"&amp;$G16,PremRes!$C$8:$C$208,$H16,PremRes!$F$8:$F$208,$I16,PremRes!$D$8:$D$208,U$12))</f>
        <v>3775510.9488528189</v>
      </c>
      <c r="V16" s="13" cm="1">
        <f t="array" ref="V16">_xlfn.IFS($G16="__overall__",
SUMIFS(PremRes!$G$8:$G$208,PremRes!$B$8:$B$208,$G16,PremRes!$C$8:$C$208,$H16,PremRes!$F$8:$F$208,$I16,PremRes!$D$8:$D$208,V$12),
TRUE,
SUMIFS(PremRes!$G$8:$G$208,PremRes!$B$8:$B$208,"level_"&amp;$G16,PremRes!$C$8:$C$208,$H16,PremRes!$F$8:$F$208,$I16,PremRes!$D$8:$D$208,V$12))</f>
        <v>13304393.666804045</v>
      </c>
      <c r="X16" s="100">
        <f t="shared" si="5"/>
        <v>0</v>
      </c>
      <c r="Y16" s="100">
        <f t="shared" si="3"/>
        <v>0</v>
      </c>
      <c r="Z16" s="100">
        <f t="shared" si="4"/>
        <v>0</v>
      </c>
    </row>
    <row r="17" spans="1:26">
      <c r="A17" s="4">
        <v>1</v>
      </c>
      <c r="B17" s="4" t="str">
        <v>partnerships</v>
      </c>
      <c r="D17" s="125" t="str">
        <v>company_a</v>
      </c>
      <c r="F17" s="4">
        <v>4</v>
      </c>
      <c r="G17" s="4">
        <v>1</v>
      </c>
      <c r="H17" s="4" t="str">
        <v>direct</v>
      </c>
      <c r="I17" s="4" t="str">
        <v>company_a</v>
      </c>
      <c r="K17" s="13">
        <v>4</v>
      </c>
      <c r="L17" s="13">
        <v>11466646.750205219</v>
      </c>
      <c r="M17" s="13">
        <v>3918226.5628732103</v>
      </c>
      <c r="N17" s="13">
        <v>13856421.756770652</v>
      </c>
      <c r="O17" s="10"/>
      <c r="P17" s="13">
        <f t="shared" si="0"/>
        <v>466352.63050723076</v>
      </c>
      <c r="Q17" s="13">
        <f>IF(OR($I17="gross charge",$I17="net charge",$I17="calculated net charge"),M17,M17-SUMIFS(M$14:M$130,$G$14:$G$130,$G17,$H$14:$H$130,$H17,$I$14:$I$130,"calculated net charge"))</f>
        <v>142715.6140203909</v>
      </c>
      <c r="R17" s="13">
        <f t="shared" si="2"/>
        <v>552028.08996660821</v>
      </c>
      <c r="S17" s="11"/>
      <c r="T17" s="13" cm="1">
        <f t="array" ref="T17">_xlfn.IFS($G17="__overall__",
SUMIFS(PremRes!$G$8:$G$208,PremRes!$B$8:$B$208,$G17,PremRes!$C$8:$C$208,$H17,PremRes!$F$8:$F$208,$I17,PremRes!$D$8:$D$208,T$12),
TRUE,
SUMIFS(PremRes!$G$8:$G$208,PremRes!$B$8:$B$208,"level_"&amp;$G17,PremRes!$C$8:$C$208,$H17,PremRes!$F$8:$F$208,$I17,PremRes!$D$8:$D$208,T$12))</f>
        <v>466352.63050723262</v>
      </c>
      <c r="U17" s="13" cm="1">
        <f t="array" ref="U17">_xlfn.IFS($G17="__overall__",
SUMIFS(PremRes!$G$8:$G$208,PremRes!$B$8:$B$208,$G17,PremRes!$C$8:$C$208,$H17,PremRes!$F$8:$F$208,$I17,PremRes!$D$8:$D$208,U$12),
TRUE,
SUMIFS(PremRes!$G$8:$G$208,PremRes!$B$8:$B$208,"level_"&amp;$G17,PremRes!$C$8:$C$208,$H17,PremRes!$F$8:$F$208,$I17,PremRes!$D$8:$D$208,U$12))</f>
        <v>142715.6140203909</v>
      </c>
      <c r="V17" s="13" cm="1">
        <f t="array" ref="V17">_xlfn.IFS($G17="__overall__",
SUMIFS(PremRes!$G$8:$G$208,PremRes!$B$8:$B$208,$G17,PremRes!$C$8:$C$208,$H17,PremRes!$F$8:$F$208,$I17,PremRes!$D$8:$D$208,V$12),
TRUE,
SUMIFS(PremRes!$G$8:$G$208,PremRes!$B$8:$B$208,"level_"&amp;$G17,PremRes!$C$8:$C$208,$H17,PremRes!$F$8:$F$208,$I17,PremRes!$D$8:$D$208,V$12))</f>
        <v>552028.08996660449</v>
      </c>
      <c r="X17" s="100">
        <f t="shared" si="5"/>
        <v>-1.862645149230957E-9</v>
      </c>
      <c r="Y17" s="100">
        <f t="shared" si="3"/>
        <v>0</v>
      </c>
      <c r="Z17" s="100">
        <f t="shared" si="4"/>
        <v>3.7252902984619141E-9</v>
      </c>
    </row>
    <row r="18" spans="1:26">
      <c r="A18" s="4">
        <v>2</v>
      </c>
      <c r="B18" s="4" t="str">
        <v>gauteng</v>
      </c>
      <c r="D18" s="125" t="str">
        <v>company_b</v>
      </c>
      <c r="F18" s="4">
        <v>5</v>
      </c>
      <c r="G18" s="4">
        <v>1</v>
      </c>
      <c r="H18" s="4" t="str">
        <v>direct</v>
      </c>
      <c r="I18" s="4" t="str">
        <v>company_b</v>
      </c>
      <c r="K18" s="13">
        <v>5</v>
      </c>
      <c r="L18" s="13">
        <v>11485511.67651372</v>
      </c>
      <c r="M18" s="13">
        <v>3944217.366326239</v>
      </c>
      <c r="N18" s="13">
        <v>13892882.32967785</v>
      </c>
      <c r="O18" s="10"/>
      <c r="P18" s="13">
        <f t="shared" si="0"/>
        <v>485217.55681573227</v>
      </c>
      <c r="Q18" s="13">
        <f t="shared" ref="Q18:Q81" si="6">IF(OR($I18="gross charge",$I18="net charge",$I18="calculated net charge"),M18,M18-SUMIFS(M$14:M$130,$G$14:$G$130,$G18,$H$14:$H$130,$H18,$I$14:$I$130,"calculated net charge"))</f>
        <v>168706.41747341957</v>
      </c>
      <c r="R18" s="13">
        <f t="shared" si="2"/>
        <v>588488.66287380643</v>
      </c>
      <c r="S18" s="11"/>
      <c r="T18" s="13" cm="1">
        <f t="array" ref="T18">_xlfn.IFS($G18="__overall__",
SUMIFS(PremRes!$G$8:$G$208,PremRes!$B$8:$B$208,$G18,PremRes!$C$8:$C$208,$H18,PremRes!$F$8:$F$208,$I18,PremRes!$D$8:$D$208,T$12),
TRUE,
SUMIFS(PremRes!$G$8:$G$208,PremRes!$B$8:$B$208,"level_"&amp;$G18,PremRes!$C$8:$C$208,$H18,PremRes!$F$8:$F$208,$I18,PremRes!$D$8:$D$208,T$12))</f>
        <v>485217.55681573227</v>
      </c>
      <c r="U18" s="13" cm="1">
        <f t="array" ref="U18">_xlfn.IFS($G18="__overall__",
SUMIFS(PremRes!$G$8:$G$208,PremRes!$B$8:$B$208,$G18,PremRes!$C$8:$C$208,$H18,PremRes!$F$8:$F$208,$I18,PremRes!$D$8:$D$208,U$12),
TRUE,
SUMIFS(PremRes!$G$8:$G$208,PremRes!$B$8:$B$208,"level_"&amp;$G18,PremRes!$C$8:$C$208,$H18,PremRes!$F$8:$F$208,$I18,PremRes!$D$8:$D$208,U$12))</f>
        <v>168706.41747342004</v>
      </c>
      <c r="V18" s="13" cm="1">
        <f t="array" ref="V18">_xlfn.IFS($G18="__overall__",
SUMIFS(PremRes!$G$8:$G$208,PremRes!$B$8:$B$208,$G18,PremRes!$C$8:$C$208,$H18,PremRes!$F$8:$F$208,$I18,PremRes!$D$8:$D$208,V$12),
TRUE,
SUMIFS(PremRes!$G$8:$G$208,PremRes!$B$8:$B$208,"level_"&amp;$G18,PremRes!$C$8:$C$208,$H18,PremRes!$F$8:$F$208,$I18,PremRes!$D$8:$D$208,V$12))</f>
        <v>588488.66287380643</v>
      </c>
      <c r="X18" s="100">
        <f t="shared" si="5"/>
        <v>0</v>
      </c>
      <c r="Y18" s="100">
        <f t="shared" si="3"/>
        <v>-4.6566128730773926E-10</v>
      </c>
      <c r="Z18" s="100">
        <f t="shared" si="4"/>
        <v>0</v>
      </c>
    </row>
    <row r="19" spans="1:26">
      <c r="A19" s="4">
        <v>2</v>
      </c>
      <c r="B19" s="4" t="str">
        <v>kzn</v>
      </c>
      <c r="D19" s="125" t="str">
        <v>company_c</v>
      </c>
      <c r="F19" s="4">
        <v>6</v>
      </c>
      <c r="G19" s="4">
        <v>1</v>
      </c>
      <c r="H19" s="4" t="str">
        <v>direct</v>
      </c>
      <c r="I19" s="4" t="str">
        <v>company_c</v>
      </c>
      <c r="K19" s="13">
        <v>6</v>
      </c>
      <c r="L19" s="13">
        <v>11206178.098270157</v>
      </c>
      <c r="M19" s="13">
        <v>3875143.0620273943</v>
      </c>
      <c r="N19" s="13">
        <v>13573707.245642994</v>
      </c>
      <c r="O19" s="10"/>
      <c r="P19" s="13">
        <f t="shared" si="0"/>
        <v>205883.97857216932</v>
      </c>
      <c r="Q19" s="13">
        <f t="shared" si="6"/>
        <v>99632.113174574915</v>
      </c>
      <c r="R19" s="13">
        <f t="shared" si="2"/>
        <v>269313.57883895002</v>
      </c>
      <c r="S19" s="11"/>
      <c r="T19" s="13" cm="1">
        <f t="array" ref="T19">_xlfn.IFS($G19="__overall__",
SUMIFS(PremRes!$G$8:$G$208,PremRes!$B$8:$B$208,$G19,PremRes!$C$8:$C$208,$H19,PremRes!$F$8:$F$208,$I19,PremRes!$D$8:$D$208,T$12),
TRUE,
SUMIFS(PremRes!$G$8:$G$208,PremRes!$B$8:$B$208,"level_"&amp;$G19,PremRes!$C$8:$C$208,$H19,PremRes!$F$8:$F$208,$I19,PremRes!$D$8:$D$208,T$12))</f>
        <v>205883.97857216746</v>
      </c>
      <c r="U19" s="13" cm="1">
        <f t="array" ref="U19">_xlfn.IFS($G19="__overall__",
SUMIFS(PremRes!$G$8:$G$208,PremRes!$B$8:$B$208,$G19,PremRes!$C$8:$C$208,$H19,PremRes!$F$8:$F$208,$I19,PremRes!$D$8:$D$208,U$12),
TRUE,
SUMIFS(PremRes!$G$8:$G$208,PremRes!$B$8:$B$208,"level_"&amp;$G19,PremRes!$C$8:$C$208,$H19,PremRes!$F$8:$F$208,$I19,PremRes!$D$8:$D$208,U$12))</f>
        <v>99632.113174575381</v>
      </c>
      <c r="V19" s="13" cm="1">
        <f t="array" ref="V19">_xlfn.IFS($G19="__overall__",
SUMIFS(PremRes!$G$8:$G$208,PremRes!$B$8:$B$208,$G19,PremRes!$C$8:$C$208,$H19,PremRes!$F$8:$F$208,$I19,PremRes!$D$8:$D$208,V$12),
TRUE,
SUMIFS(PremRes!$G$8:$G$208,PremRes!$B$8:$B$208,"level_"&amp;$G19,PremRes!$C$8:$C$208,$H19,PremRes!$F$8:$F$208,$I19,PremRes!$D$8:$D$208,V$12))</f>
        <v>269313.57883894816</v>
      </c>
      <c r="X19" s="100">
        <f t="shared" si="5"/>
        <v>1.862645149230957E-9</v>
      </c>
      <c r="Y19" s="100">
        <f t="shared" si="3"/>
        <v>-4.6566128730773926E-10</v>
      </c>
      <c r="Z19" s="100">
        <f t="shared" si="4"/>
        <v>1.862645149230957E-9</v>
      </c>
    </row>
    <row r="20" spans="1:26">
      <c r="A20" s="4">
        <v>2</v>
      </c>
      <c r="B20" s="4" t="str">
        <v>western cape</v>
      </c>
      <c r="D20" s="125" t="str">
        <v>company_d</v>
      </c>
      <c r="F20" s="4">
        <v>7</v>
      </c>
      <c r="G20" s="4">
        <v>1</v>
      </c>
      <c r="H20" s="4" t="str">
        <v>direct</v>
      </c>
      <c r="I20" s="4" t="str">
        <v>company_d</v>
      </c>
      <c r="K20" s="13">
        <v>7</v>
      </c>
      <c r="L20" s="13">
        <v>11000294.119697988</v>
      </c>
      <c r="M20" s="13">
        <v>3775510.9488528194</v>
      </c>
      <c r="N20" s="13">
        <v>13304393.666804044</v>
      </c>
      <c r="O20" s="10"/>
      <c r="P20" s="13">
        <f t="shared" si="0"/>
        <v>0</v>
      </c>
      <c r="Q20" s="13">
        <f t="shared" si="6"/>
        <v>0</v>
      </c>
      <c r="R20" s="13">
        <f t="shared" si="2"/>
        <v>0</v>
      </c>
      <c r="S20" s="11"/>
      <c r="T20" s="13" cm="1">
        <f t="array" ref="T20">_xlfn.IFS($G20="__overall__",
SUMIFS(PremRes!$G$8:$G$208,PremRes!$B$8:$B$208,$G20,PremRes!$C$8:$C$208,$H20,PremRes!$F$8:$F$208,$I20,PremRes!$D$8:$D$208,T$12),
TRUE,
SUMIFS(PremRes!$G$8:$G$208,PremRes!$B$8:$B$208,"level_"&amp;$G20,PremRes!$C$8:$C$208,$H20,PremRes!$F$8:$F$208,$I20,PremRes!$D$8:$D$208,T$12))</f>
        <v>0</v>
      </c>
      <c r="U20" s="13" cm="1">
        <f t="array" ref="U20">_xlfn.IFS($G20="__overall__",
SUMIFS(PremRes!$G$8:$G$208,PremRes!$B$8:$B$208,$G20,PremRes!$C$8:$C$208,$H20,PremRes!$F$8:$F$208,$I20,PremRes!$D$8:$D$208,U$12),
TRUE,
SUMIFS(PremRes!$G$8:$G$208,PremRes!$B$8:$B$208,"level_"&amp;$G20,PremRes!$C$8:$C$208,$H20,PremRes!$F$8:$F$208,$I20,PremRes!$D$8:$D$208,U$12))</f>
        <v>0</v>
      </c>
      <c r="V20" s="13" cm="1">
        <f t="array" ref="V20">_xlfn.IFS($G20="__overall__",
SUMIFS(PremRes!$G$8:$G$208,PremRes!$B$8:$B$208,$G20,PremRes!$C$8:$C$208,$H20,PremRes!$F$8:$F$208,$I20,PremRes!$D$8:$D$208,V$12),
TRUE,
SUMIFS(PremRes!$G$8:$G$208,PremRes!$B$8:$B$208,"level_"&amp;$G20,PremRes!$C$8:$C$208,$H20,PremRes!$F$8:$F$208,$I20,PremRes!$D$8:$D$208,V$12))</f>
        <v>0</v>
      </c>
      <c r="X20" s="100">
        <f t="shared" si="5"/>
        <v>0</v>
      </c>
      <c r="Y20" s="100">
        <f t="shared" si="3"/>
        <v>0</v>
      </c>
      <c r="Z20" s="100">
        <f t="shared" si="4"/>
        <v>0</v>
      </c>
    </row>
    <row r="21" spans="1:26">
      <c r="A21" s="4">
        <v>2</v>
      </c>
      <c r="B21" s="4" t="str">
        <v>limpopo</v>
      </c>
      <c r="D21" s="125" t="str">
        <v>company_e</v>
      </c>
      <c r="F21" s="4">
        <v>8</v>
      </c>
      <c r="G21" s="4">
        <v>1</v>
      </c>
      <c r="H21" s="4" t="str">
        <v>direct</v>
      </c>
      <c r="I21" s="4" t="str">
        <v>company_e</v>
      </c>
      <c r="K21" s="13">
        <v>8</v>
      </c>
      <c r="L21" s="13">
        <v>11000294.119697988</v>
      </c>
      <c r="M21" s="13">
        <v>3775510.9488528194</v>
      </c>
      <c r="N21" s="13">
        <v>13304393.666804044</v>
      </c>
      <c r="O21" s="10"/>
      <c r="P21" s="13">
        <f t="shared" si="0"/>
        <v>0</v>
      </c>
      <c r="Q21" s="13">
        <f t="shared" si="6"/>
        <v>0</v>
      </c>
      <c r="R21" s="13">
        <f t="shared" si="2"/>
        <v>0</v>
      </c>
      <c r="S21" s="11"/>
      <c r="T21" s="13" cm="1">
        <f t="array" ref="T21">_xlfn.IFS($G21="__overall__",
SUMIFS(PremRes!$G$8:$G$208,PremRes!$B$8:$B$208,$G21,PremRes!$C$8:$C$208,$H21,PremRes!$F$8:$F$208,$I21,PremRes!$D$8:$D$208,T$12),
TRUE,
SUMIFS(PremRes!$G$8:$G$208,PremRes!$B$8:$B$208,"level_"&amp;$G21,PremRes!$C$8:$C$208,$H21,PremRes!$F$8:$F$208,$I21,PremRes!$D$8:$D$208,T$12))</f>
        <v>0</v>
      </c>
      <c r="U21" s="13" cm="1">
        <f t="array" ref="U21">_xlfn.IFS($G21="__overall__",
SUMIFS(PremRes!$G$8:$G$208,PremRes!$B$8:$B$208,$G21,PremRes!$C$8:$C$208,$H21,PremRes!$F$8:$F$208,$I21,PremRes!$D$8:$D$208,U$12),
TRUE,
SUMIFS(PremRes!$G$8:$G$208,PremRes!$B$8:$B$208,"level_"&amp;$G21,PremRes!$C$8:$C$208,$H21,PremRes!$F$8:$F$208,$I21,PremRes!$D$8:$D$208,U$12))</f>
        <v>0</v>
      </c>
      <c r="V21" s="13" cm="1">
        <f t="array" ref="V21">_xlfn.IFS($G21="__overall__",
SUMIFS(PremRes!$G$8:$G$208,PremRes!$B$8:$B$208,$G21,PremRes!$C$8:$C$208,$H21,PremRes!$F$8:$F$208,$I21,PremRes!$D$8:$D$208,V$12),
TRUE,
SUMIFS(PremRes!$G$8:$G$208,PremRes!$B$8:$B$208,"level_"&amp;$G21,PremRes!$C$8:$C$208,$H21,PremRes!$F$8:$F$208,$I21,PremRes!$D$8:$D$208,V$12))</f>
        <v>0</v>
      </c>
      <c r="X21" s="100">
        <f t="shared" si="5"/>
        <v>0</v>
      </c>
      <c r="Y21" s="100">
        <f t="shared" si="3"/>
        <v>0</v>
      </c>
      <c r="Z21" s="100">
        <f t="shared" si="4"/>
        <v>0</v>
      </c>
    </row>
    <row r="22" spans="1:26">
      <c r="A22" s="4">
        <v>2</v>
      </c>
      <c r="B22" s="4" t="str">
        <v>north west</v>
      </c>
      <c r="D22" s="126" t="str">
        <v>company_g</v>
      </c>
      <c r="F22" s="4">
        <v>9</v>
      </c>
      <c r="G22" s="4">
        <v>1</v>
      </c>
      <c r="H22" s="4" t="str">
        <v>direct</v>
      </c>
      <c r="I22" s="4" t="str">
        <v>company_g</v>
      </c>
      <c r="K22" s="13">
        <v>9</v>
      </c>
      <c r="L22" s="13">
        <v>11000294.119697988</v>
      </c>
      <c r="M22" s="13">
        <v>3775510.9488528194</v>
      </c>
      <c r="N22" s="13">
        <v>13304393.666804044</v>
      </c>
      <c r="O22" s="10"/>
      <c r="P22" s="13">
        <f t="shared" si="0"/>
        <v>0</v>
      </c>
      <c r="Q22" s="13">
        <f t="shared" si="6"/>
        <v>0</v>
      </c>
      <c r="R22" s="13">
        <f t="shared" si="2"/>
        <v>0</v>
      </c>
      <c r="S22" s="11"/>
      <c r="T22" s="13" cm="1">
        <f t="array" ref="T22">_xlfn.IFS($G22="__overall__",
SUMIFS(PremRes!$G$8:$G$208,PremRes!$B$8:$B$208,$G22,PremRes!$C$8:$C$208,$H22,PremRes!$F$8:$F$208,$I22,PremRes!$D$8:$D$208,T$12),
TRUE,
SUMIFS(PremRes!$G$8:$G$208,PremRes!$B$8:$B$208,"level_"&amp;$G22,PremRes!$C$8:$C$208,$H22,PremRes!$F$8:$F$208,$I22,PremRes!$D$8:$D$208,T$12))</f>
        <v>0</v>
      </c>
      <c r="U22" s="13" cm="1">
        <f t="array" ref="U22">_xlfn.IFS($G22="__overall__",
SUMIFS(PremRes!$G$8:$G$208,PremRes!$B$8:$B$208,$G22,PremRes!$C$8:$C$208,$H22,PremRes!$F$8:$F$208,$I22,PremRes!$D$8:$D$208,U$12),
TRUE,
SUMIFS(PremRes!$G$8:$G$208,PremRes!$B$8:$B$208,"level_"&amp;$G22,PremRes!$C$8:$C$208,$H22,PremRes!$F$8:$F$208,$I22,PremRes!$D$8:$D$208,U$12))</f>
        <v>0</v>
      </c>
      <c r="V22" s="13" cm="1">
        <f t="array" ref="V22">_xlfn.IFS($G22="__overall__",
SUMIFS(PremRes!$G$8:$G$208,PremRes!$B$8:$B$208,$G22,PremRes!$C$8:$C$208,$H22,PremRes!$F$8:$F$208,$I22,PremRes!$D$8:$D$208,V$12),
TRUE,
SUMIFS(PremRes!$G$8:$G$208,PremRes!$B$8:$B$208,"level_"&amp;$G22,PremRes!$C$8:$C$208,$H22,PremRes!$F$8:$F$208,$I22,PremRes!$D$8:$D$208,V$12))</f>
        <v>0</v>
      </c>
      <c r="X22" s="100">
        <f t="shared" si="5"/>
        <v>0</v>
      </c>
      <c r="Y22" s="100">
        <f t="shared" si="3"/>
        <v>0</v>
      </c>
      <c r="Z22" s="100">
        <f t="shared" si="4"/>
        <v>0</v>
      </c>
    </row>
    <row r="23" spans="1:26">
      <c r="A23" s="4">
        <v>2</v>
      </c>
      <c r="B23" s="4" t="str">
        <v>northern cape</v>
      </c>
      <c r="F23" s="4">
        <v>10</v>
      </c>
      <c r="G23" s="4">
        <v>1</v>
      </c>
      <c r="H23" s="4" t="str">
        <v>intermediated</v>
      </c>
      <c r="I23" s="4" t="str">
        <v>gross charge</v>
      </c>
      <c r="K23" s="13">
        <v>10</v>
      </c>
      <c r="L23" s="13">
        <v>5022795.7352242041</v>
      </c>
      <c r="M23" s="13">
        <v>1588930.193259978</v>
      </c>
      <c r="N23" s="13">
        <v>5974814.5605519954</v>
      </c>
      <c r="O23" s="10"/>
      <c r="P23" s="13">
        <f t="shared" si="0"/>
        <v>5022795.7352242041</v>
      </c>
      <c r="Q23" s="13">
        <f t="shared" si="6"/>
        <v>1588930.193259978</v>
      </c>
      <c r="R23" s="13">
        <f t="shared" si="2"/>
        <v>5974814.5605519954</v>
      </c>
      <c r="S23" s="11"/>
      <c r="T23" s="13" cm="1">
        <f t="array" ref="T23">_xlfn.IFS($G23="__overall__",
SUMIFS(PremRes!$G$8:$G$208,PremRes!$B$8:$B$208,$G23,PremRes!$C$8:$C$208,$H23,PremRes!$F$8:$F$208,$I23,PremRes!$D$8:$D$208,T$12),
TRUE,
SUMIFS(PremRes!$G$8:$G$208,PremRes!$B$8:$B$208,"level_"&amp;$G23,PremRes!$C$8:$C$208,$H23,PremRes!$F$8:$F$208,$I23,PremRes!$D$8:$D$208,T$12))</f>
        <v>5022795.7352242041</v>
      </c>
      <c r="U23" s="13" cm="1">
        <f t="array" ref="U23">_xlfn.IFS($G23="__overall__",
SUMIFS(PremRes!$G$8:$G$208,PremRes!$B$8:$B$208,$G23,PremRes!$C$8:$C$208,$H23,PremRes!$F$8:$F$208,$I23,PremRes!$D$8:$D$208,U$12),
TRUE,
SUMIFS(PremRes!$G$8:$G$208,PremRes!$B$8:$B$208,"level_"&amp;$G23,PremRes!$C$8:$C$208,$H23,PremRes!$F$8:$F$208,$I23,PremRes!$D$8:$D$208,U$12))</f>
        <v>1588930.1932599782</v>
      </c>
      <c r="V23" s="13" cm="1">
        <f t="array" ref="V23">_xlfn.IFS($G23="__overall__",
SUMIFS(PremRes!$G$8:$G$208,PremRes!$B$8:$B$208,$G23,PremRes!$C$8:$C$208,$H23,PremRes!$F$8:$F$208,$I23,PremRes!$D$8:$D$208,V$12),
TRUE,
SUMIFS(PremRes!$G$8:$G$208,PremRes!$B$8:$B$208,"level_"&amp;$G23,PremRes!$C$8:$C$208,$H23,PremRes!$F$8:$F$208,$I23,PremRes!$D$8:$D$208,V$12))</f>
        <v>5974814.5605519954</v>
      </c>
      <c r="X23" s="100">
        <f t="shared" si="5"/>
        <v>0</v>
      </c>
      <c r="Y23" s="100">
        <f t="shared" si="3"/>
        <v>0</v>
      </c>
      <c r="Z23" s="100">
        <f t="shared" si="4"/>
        <v>0</v>
      </c>
    </row>
    <row r="24" spans="1:26">
      <c r="A24" s="4">
        <v>2</v>
      </c>
      <c r="B24" s="4" t="str">
        <v>free state</v>
      </c>
      <c r="F24" s="4">
        <v>11</v>
      </c>
      <c r="G24" s="4">
        <v>1</v>
      </c>
      <c r="H24" s="4" t="str">
        <v>intermediated</v>
      </c>
      <c r="I24" s="4" t="str">
        <v>net charge</v>
      </c>
      <c r="K24" s="13">
        <v>11</v>
      </c>
      <c r="L24" s="13">
        <v>3559475.0500263041</v>
      </c>
      <c r="M24" s="13">
        <v>1093290.552658394</v>
      </c>
      <c r="N24" s="13">
        <v>4213700.5997630367</v>
      </c>
      <c r="O24" s="10"/>
      <c r="P24" s="13">
        <f t="shared" si="0"/>
        <v>3559475.0500263041</v>
      </c>
      <c r="Q24" s="13">
        <f t="shared" si="6"/>
        <v>1093290.552658394</v>
      </c>
      <c r="R24" s="13">
        <f t="shared" si="2"/>
        <v>4213700.5997630367</v>
      </c>
      <c r="S24" s="11"/>
      <c r="T24" s="13" cm="1">
        <f t="array" ref="T24">_xlfn.IFS($G24="__overall__",
SUMIFS(PremRes!$G$8:$G$208,PremRes!$B$8:$B$208,$G24,PremRes!$C$8:$C$208,$H24,PremRes!$F$8:$F$208,$I24,PremRes!$D$8:$D$208,T$12),
TRUE,
SUMIFS(PremRes!$G$8:$G$208,PremRes!$B$8:$B$208,"level_"&amp;$G24,PremRes!$C$8:$C$208,$H24,PremRes!$F$8:$F$208,$I24,PremRes!$D$8:$D$208,T$12))</f>
        <v>3559475.0500263032</v>
      </c>
      <c r="U24" s="13" cm="1">
        <f t="array" ref="U24">_xlfn.IFS($G24="__overall__",
SUMIFS(PremRes!$G$8:$G$208,PremRes!$B$8:$B$208,$G24,PremRes!$C$8:$C$208,$H24,PremRes!$F$8:$F$208,$I24,PremRes!$D$8:$D$208,U$12),
TRUE,
SUMIFS(PremRes!$G$8:$G$208,PremRes!$B$8:$B$208,"level_"&amp;$G24,PremRes!$C$8:$C$208,$H24,PremRes!$F$8:$F$208,$I24,PremRes!$D$8:$D$208,U$12))</f>
        <v>1093290.552658394</v>
      </c>
      <c r="V24" s="13" cm="1">
        <f t="array" ref="V24">_xlfn.IFS($G24="__overall__",
SUMIFS(PremRes!$G$8:$G$208,PremRes!$B$8:$B$208,$G24,PremRes!$C$8:$C$208,$H24,PremRes!$F$8:$F$208,$I24,PremRes!$D$8:$D$208,V$12),
TRUE,
SUMIFS(PremRes!$G$8:$G$208,PremRes!$B$8:$B$208,"level_"&amp;$G24,PremRes!$C$8:$C$208,$H24,PremRes!$F$8:$F$208,$I24,PremRes!$D$8:$D$208,V$12))</f>
        <v>4213700.5997630376</v>
      </c>
      <c r="X24" s="100">
        <f t="shared" si="5"/>
        <v>0</v>
      </c>
      <c r="Y24" s="100">
        <f t="shared" si="3"/>
        <v>0</v>
      </c>
      <c r="Z24" s="100">
        <f t="shared" si="4"/>
        <v>0</v>
      </c>
    </row>
    <row r="25" spans="1:26">
      <c r="A25" s="4">
        <v>2</v>
      </c>
      <c r="B25" s="4" t="str">
        <v>eastern cape</v>
      </c>
      <c r="F25" s="4">
        <v>12</v>
      </c>
      <c r="G25" s="4">
        <v>1</v>
      </c>
      <c r="H25" s="4" t="str">
        <v>intermediated</v>
      </c>
      <c r="I25" s="4" t="str">
        <v>calculated net charge</v>
      </c>
      <c r="K25" s="13">
        <v>12</v>
      </c>
      <c r="L25" s="13">
        <v>3691728.313170922</v>
      </c>
      <c r="M25" s="13">
        <v>1138322.5655842416</v>
      </c>
      <c r="N25" s="13">
        <v>4373052.8190186145</v>
      </c>
      <c r="O25" s="10"/>
      <c r="P25" s="13">
        <f t="shared" si="0"/>
        <v>3691728.313170922</v>
      </c>
      <c r="Q25" s="13">
        <f t="shared" si="6"/>
        <v>1138322.5655842416</v>
      </c>
      <c r="R25" s="13">
        <f t="shared" si="2"/>
        <v>4373052.8190186145</v>
      </c>
      <c r="S25" s="11"/>
      <c r="T25" s="13" cm="1">
        <f t="array" ref="T25">_xlfn.IFS($G25="__overall__",
SUMIFS(PremRes!$G$8:$G$208,PremRes!$B$8:$B$208,$G25,PremRes!$C$8:$C$208,$H25,PremRes!$F$8:$F$208,$I25,PremRes!$D$8:$D$208,T$12),
TRUE,
SUMIFS(PremRes!$G$8:$G$208,PremRes!$B$8:$B$208,"level_"&amp;$G25,PremRes!$C$8:$C$208,$H25,PremRes!$F$8:$F$208,$I25,PremRes!$D$8:$D$208,T$12))</f>
        <v>3691728.313170922</v>
      </c>
      <c r="U25" s="13" cm="1">
        <f t="array" ref="U25">_xlfn.IFS($G25="__overall__",
SUMIFS(PremRes!$G$8:$G$208,PremRes!$B$8:$B$208,$G25,PremRes!$C$8:$C$208,$H25,PremRes!$F$8:$F$208,$I25,PremRes!$D$8:$D$208,U$12),
TRUE,
SUMIFS(PremRes!$G$8:$G$208,PremRes!$B$8:$B$208,"level_"&amp;$G25,PremRes!$C$8:$C$208,$H25,PremRes!$F$8:$F$208,$I25,PremRes!$D$8:$D$208,U$12))</f>
        <v>1138322.5655842416</v>
      </c>
      <c r="V25" s="13" cm="1">
        <f t="array" ref="V25">_xlfn.IFS($G25="__overall__",
SUMIFS(PremRes!$G$8:$G$208,PremRes!$B$8:$B$208,$G25,PremRes!$C$8:$C$208,$H25,PremRes!$F$8:$F$208,$I25,PremRes!$D$8:$D$208,V$12),
TRUE,
SUMIFS(PremRes!$G$8:$G$208,PremRes!$B$8:$B$208,"level_"&amp;$G25,PremRes!$C$8:$C$208,$H25,PremRes!$F$8:$F$208,$I25,PremRes!$D$8:$D$208,V$12))</f>
        <v>4373052.8190186145</v>
      </c>
      <c r="X25" s="100">
        <f t="shared" si="5"/>
        <v>0</v>
      </c>
      <c r="Y25" s="100">
        <f t="shared" si="3"/>
        <v>0</v>
      </c>
      <c r="Z25" s="100">
        <f t="shared" si="4"/>
        <v>0</v>
      </c>
    </row>
    <row r="26" spans="1:26">
      <c r="A26" s="7" t="str">
        <v>__overall__</v>
      </c>
      <c r="B26" s="7" t="str">
        <v>__overall__</v>
      </c>
      <c r="F26" s="4">
        <v>13</v>
      </c>
      <c r="G26" s="4">
        <v>1</v>
      </c>
      <c r="H26" s="4" t="str">
        <v>intermediated</v>
      </c>
      <c r="I26" s="4" t="str">
        <v>company_a</v>
      </c>
      <c r="K26" s="13">
        <v>13</v>
      </c>
      <c r="L26" s="13">
        <v>4318705.0332859559</v>
      </c>
      <c r="M26" s="13">
        <v>1351894.531552122</v>
      </c>
      <c r="N26" s="13">
        <v>5128130.9897593306</v>
      </c>
      <c r="O26" s="10"/>
      <c r="P26" s="13">
        <f t="shared" si="0"/>
        <v>626976.72011503391</v>
      </c>
      <c r="Q26" s="13">
        <f t="shared" si="6"/>
        <v>213571.96596788033</v>
      </c>
      <c r="R26" s="13">
        <f t="shared" si="2"/>
        <v>755078.17074071616</v>
      </c>
      <c r="S26" s="11"/>
      <c r="T26" s="13" cm="1">
        <f t="array" ref="T26">_xlfn.IFS($G26="__overall__",
SUMIFS(PremRes!$G$8:$G$208,PremRes!$B$8:$B$208,$G26,PremRes!$C$8:$C$208,$H26,PremRes!$F$8:$F$208,$I26,PremRes!$D$8:$D$208,T$12),
TRUE,
SUMIFS(PremRes!$G$8:$G$208,PremRes!$B$8:$B$208,"level_"&amp;$G26,PremRes!$C$8:$C$208,$H26,PremRes!$F$8:$F$208,$I26,PremRes!$D$8:$D$208,T$12))</f>
        <v>626976.72011503391</v>
      </c>
      <c r="U26" s="13" cm="1">
        <f t="array" ref="U26">_xlfn.IFS($G26="__overall__",
SUMIFS(PremRes!$G$8:$G$208,PremRes!$B$8:$B$208,$G26,PremRes!$C$8:$C$208,$H26,PremRes!$F$8:$F$208,$I26,PremRes!$D$8:$D$208,U$12),
TRUE,
SUMIFS(PremRes!$G$8:$G$208,PremRes!$B$8:$B$208,"level_"&amp;$G26,PremRes!$C$8:$C$208,$H26,PremRes!$F$8:$F$208,$I26,PremRes!$D$8:$D$208,U$12))</f>
        <v>213571.96596788056</v>
      </c>
      <c r="V26" s="13" cm="1">
        <f t="array" ref="V26">_xlfn.IFS($G26="__overall__",
SUMIFS(PremRes!$G$8:$G$208,PremRes!$B$8:$B$208,$G26,PremRes!$C$8:$C$208,$H26,PremRes!$F$8:$F$208,$I26,PremRes!$D$8:$D$208,V$12),
TRUE,
SUMIFS(PremRes!$G$8:$G$208,PremRes!$B$8:$B$208,"level_"&amp;$G26,PremRes!$C$8:$C$208,$H26,PremRes!$F$8:$F$208,$I26,PremRes!$D$8:$D$208,V$12))</f>
        <v>755078.17074071616</v>
      </c>
      <c r="X26" s="100">
        <f t="shared" si="5"/>
        <v>0</v>
      </c>
      <c r="Y26" s="100">
        <f t="shared" si="3"/>
        <v>-2.3283064365386963E-10</v>
      </c>
      <c r="Z26" s="100">
        <f t="shared" si="4"/>
        <v>0</v>
      </c>
    </row>
    <row r="27" spans="1:26">
      <c r="F27" s="4">
        <v>14</v>
      </c>
      <c r="G27" s="4">
        <v>1</v>
      </c>
      <c r="H27" s="4" t="str">
        <v>intermediated</v>
      </c>
      <c r="I27" s="4" t="str">
        <v>company_b</v>
      </c>
      <c r="K27" s="13">
        <v>14</v>
      </c>
      <c r="L27" s="13">
        <v>4254061.7420563111</v>
      </c>
      <c r="M27" s="13">
        <v>1329260.3324770336</v>
      </c>
      <c r="N27" s="13">
        <v>5050153.1980043128</v>
      </c>
      <c r="O27" s="10"/>
      <c r="P27" s="13">
        <f t="shared" si="0"/>
        <v>562333.42888538912</v>
      </c>
      <c r="Q27" s="13">
        <f t="shared" si="6"/>
        <v>190937.76689279196</v>
      </c>
      <c r="R27" s="13">
        <f t="shared" si="2"/>
        <v>677100.37898569833</v>
      </c>
      <c r="S27" s="11"/>
      <c r="T27" s="13" cm="1">
        <f t="array" ref="T27">_xlfn.IFS($G27="__overall__",
SUMIFS(PremRes!$G$8:$G$208,PremRes!$B$8:$B$208,$G27,PremRes!$C$8:$C$208,$H27,PremRes!$F$8:$F$208,$I27,PremRes!$D$8:$D$208,T$12),
TRUE,
SUMIFS(PremRes!$G$8:$G$208,PremRes!$B$8:$B$208,"level_"&amp;$G27,PremRes!$C$8:$C$208,$H27,PremRes!$F$8:$F$208,$I27,PremRes!$D$8:$D$208,T$12))</f>
        <v>562333.42888538912</v>
      </c>
      <c r="U27" s="13" cm="1">
        <f t="array" ref="U27">_xlfn.IFS($G27="__overall__",
SUMIFS(PremRes!$G$8:$G$208,PremRes!$B$8:$B$208,$G27,PremRes!$C$8:$C$208,$H27,PremRes!$F$8:$F$208,$I27,PremRes!$D$8:$D$208,U$12),
TRUE,
SUMIFS(PremRes!$G$8:$G$208,PremRes!$B$8:$B$208,"level_"&amp;$G27,PremRes!$C$8:$C$208,$H27,PremRes!$F$8:$F$208,$I27,PremRes!$D$8:$D$208,U$12))</f>
        <v>190937.76689279196</v>
      </c>
      <c r="V27" s="13" cm="1">
        <f t="array" ref="V27">_xlfn.IFS($G27="__overall__",
SUMIFS(PremRes!$G$8:$G$208,PremRes!$B$8:$B$208,$G27,PremRes!$C$8:$C$208,$H27,PremRes!$F$8:$F$208,$I27,PremRes!$D$8:$D$208,V$12),
TRUE,
SUMIFS(PremRes!$G$8:$G$208,PremRes!$B$8:$B$208,"level_"&amp;$G27,PremRes!$C$8:$C$208,$H27,PremRes!$F$8:$F$208,$I27,PremRes!$D$8:$D$208,V$12))</f>
        <v>677100.37898569833</v>
      </c>
      <c r="X27" s="100">
        <f t="shared" si="5"/>
        <v>0</v>
      </c>
      <c r="Y27" s="100">
        <f t="shared" si="3"/>
        <v>0</v>
      </c>
      <c r="Z27" s="100">
        <f t="shared" si="4"/>
        <v>0</v>
      </c>
    </row>
    <row r="28" spans="1:26">
      <c r="F28" s="4">
        <v>15</v>
      </c>
      <c r="G28" s="4">
        <v>1</v>
      </c>
      <c r="H28" s="4" t="str">
        <v>intermediated</v>
      </c>
      <c r="I28" s="4" t="str">
        <v>company_c</v>
      </c>
      <c r="K28" s="13">
        <v>15</v>
      </c>
      <c r="L28" s="13">
        <v>3815071.1861222088</v>
      </c>
      <c r="M28" s="13">
        <v>1179361.3050264376</v>
      </c>
      <c r="N28" s="13">
        <v>4521371.1840491435</v>
      </c>
      <c r="O28" s="10"/>
      <c r="P28" s="13">
        <f t="shared" si="0"/>
        <v>123342.87295128684</v>
      </c>
      <c r="Q28" s="13">
        <f t="shared" si="6"/>
        <v>41038.739442195976</v>
      </c>
      <c r="R28" s="13">
        <f t="shared" si="2"/>
        <v>148318.36503052898</v>
      </c>
      <c r="S28" s="11"/>
      <c r="T28" s="13" cm="1">
        <f t="array" ref="T28">_xlfn.IFS($G28="__overall__",
SUMIFS(PremRes!$G$8:$G$208,PremRes!$B$8:$B$208,$G28,PremRes!$C$8:$C$208,$H28,PremRes!$F$8:$F$208,$I28,PremRes!$D$8:$D$208,T$12),
TRUE,
SUMIFS(PremRes!$G$8:$G$208,PremRes!$B$8:$B$208,"level_"&amp;$G28,PremRes!$C$8:$C$208,$H28,PremRes!$F$8:$F$208,$I28,PremRes!$D$8:$D$208,T$12))</f>
        <v>123342.87295128684</v>
      </c>
      <c r="U28" s="13" cm="1">
        <f t="array" ref="U28">_xlfn.IFS($G28="__overall__",
SUMIFS(PremRes!$G$8:$G$208,PremRes!$B$8:$B$208,$G28,PremRes!$C$8:$C$208,$H28,PremRes!$F$8:$F$208,$I28,PremRes!$D$8:$D$208,U$12),
TRUE,
SUMIFS(PremRes!$G$8:$G$208,PremRes!$B$8:$B$208,"level_"&amp;$G28,PremRes!$C$8:$C$208,$H28,PremRes!$F$8:$F$208,$I28,PremRes!$D$8:$D$208,U$12))</f>
        <v>41038.739442195976</v>
      </c>
      <c r="V28" s="13" cm="1">
        <f t="array" ref="V28">_xlfn.IFS($G28="__overall__",
SUMIFS(PremRes!$G$8:$G$208,PremRes!$B$8:$B$208,$G28,PremRes!$C$8:$C$208,$H28,PremRes!$F$8:$F$208,$I28,PremRes!$D$8:$D$208,V$12),
TRUE,
SUMIFS(PremRes!$G$8:$G$208,PremRes!$B$8:$B$208,"level_"&amp;$G28,PremRes!$C$8:$C$208,$H28,PremRes!$F$8:$F$208,$I28,PremRes!$D$8:$D$208,V$12))</f>
        <v>148318.36503052898</v>
      </c>
      <c r="X28" s="100">
        <f t="shared" si="5"/>
        <v>0</v>
      </c>
      <c r="Y28" s="100">
        <f t="shared" si="3"/>
        <v>0</v>
      </c>
      <c r="Z28" s="100">
        <f t="shared" si="4"/>
        <v>0</v>
      </c>
    </row>
    <row r="29" spans="1:26">
      <c r="F29" s="4">
        <v>16</v>
      </c>
      <c r="G29" s="4">
        <v>1</v>
      </c>
      <c r="H29" s="4" t="str">
        <v>intermediated</v>
      </c>
      <c r="I29" s="4" t="str">
        <v>company_d</v>
      </c>
      <c r="K29" s="13">
        <v>16</v>
      </c>
      <c r="L29" s="13">
        <v>3691728.313170922</v>
      </c>
      <c r="M29" s="13">
        <v>1138322.5655842416</v>
      </c>
      <c r="N29" s="13">
        <v>4373052.8190186145</v>
      </c>
      <c r="O29" s="10"/>
      <c r="P29" s="13">
        <f t="shared" si="0"/>
        <v>0</v>
      </c>
      <c r="Q29" s="13">
        <f t="shared" si="6"/>
        <v>0</v>
      </c>
      <c r="R29" s="13">
        <f t="shared" si="2"/>
        <v>0</v>
      </c>
      <c r="S29" s="11"/>
      <c r="T29" s="13" cm="1">
        <f t="array" ref="T29">_xlfn.IFS($G29="__overall__",
SUMIFS(PremRes!$G$8:$G$208,PremRes!$B$8:$B$208,$G29,PremRes!$C$8:$C$208,$H29,PremRes!$F$8:$F$208,$I29,PremRes!$D$8:$D$208,T$12),
TRUE,
SUMIFS(PremRes!$G$8:$G$208,PremRes!$B$8:$B$208,"level_"&amp;$G29,PremRes!$C$8:$C$208,$H29,PremRes!$F$8:$F$208,$I29,PremRes!$D$8:$D$208,T$12))</f>
        <v>0</v>
      </c>
      <c r="U29" s="13" cm="1">
        <f t="array" ref="U29">_xlfn.IFS($G29="__overall__",
SUMIFS(PremRes!$G$8:$G$208,PremRes!$B$8:$B$208,$G29,PremRes!$C$8:$C$208,$H29,PremRes!$F$8:$F$208,$I29,PremRes!$D$8:$D$208,U$12),
TRUE,
SUMIFS(PremRes!$G$8:$G$208,PremRes!$B$8:$B$208,"level_"&amp;$G29,PremRes!$C$8:$C$208,$H29,PremRes!$F$8:$F$208,$I29,PremRes!$D$8:$D$208,U$12))</f>
        <v>0</v>
      </c>
      <c r="V29" s="13" cm="1">
        <f t="array" ref="V29">_xlfn.IFS($G29="__overall__",
SUMIFS(PremRes!$G$8:$G$208,PremRes!$B$8:$B$208,$G29,PremRes!$C$8:$C$208,$H29,PremRes!$F$8:$F$208,$I29,PremRes!$D$8:$D$208,V$12),
TRUE,
SUMIFS(PremRes!$G$8:$G$208,PremRes!$B$8:$B$208,"level_"&amp;$G29,PremRes!$C$8:$C$208,$H29,PremRes!$F$8:$F$208,$I29,PremRes!$D$8:$D$208,V$12))</f>
        <v>0</v>
      </c>
      <c r="X29" s="100">
        <f t="shared" si="5"/>
        <v>0</v>
      </c>
      <c r="Y29" s="100">
        <f t="shared" si="3"/>
        <v>0</v>
      </c>
      <c r="Z29" s="100">
        <f t="shared" si="4"/>
        <v>0</v>
      </c>
    </row>
    <row r="30" spans="1:26">
      <c r="F30" s="4">
        <v>17</v>
      </c>
      <c r="G30" s="4">
        <v>1</v>
      </c>
      <c r="H30" s="4" t="str">
        <v>intermediated</v>
      </c>
      <c r="I30" s="4" t="str">
        <v>company_e</v>
      </c>
      <c r="K30" s="13">
        <v>17</v>
      </c>
      <c r="L30" s="13">
        <v>3691728.313170922</v>
      </c>
      <c r="M30" s="13">
        <v>1138322.5655842416</v>
      </c>
      <c r="N30" s="13">
        <v>4373052.8190186145</v>
      </c>
      <c r="O30" s="10"/>
      <c r="P30" s="13">
        <f t="shared" si="0"/>
        <v>0</v>
      </c>
      <c r="Q30" s="13">
        <f t="shared" si="6"/>
        <v>0</v>
      </c>
      <c r="R30" s="13">
        <f t="shared" si="2"/>
        <v>0</v>
      </c>
      <c r="S30" s="11"/>
      <c r="T30" s="13" cm="1">
        <f t="array" ref="T30">_xlfn.IFS($G30="__overall__",
SUMIFS(PremRes!$G$8:$G$208,PremRes!$B$8:$B$208,$G30,PremRes!$C$8:$C$208,$H30,PremRes!$F$8:$F$208,$I30,PremRes!$D$8:$D$208,T$12),
TRUE,
SUMIFS(PremRes!$G$8:$G$208,PremRes!$B$8:$B$208,"level_"&amp;$G30,PremRes!$C$8:$C$208,$H30,PremRes!$F$8:$F$208,$I30,PremRes!$D$8:$D$208,T$12))</f>
        <v>0</v>
      </c>
      <c r="U30" s="13" cm="1">
        <f t="array" ref="U30">_xlfn.IFS($G30="__overall__",
SUMIFS(PremRes!$G$8:$G$208,PremRes!$B$8:$B$208,$G30,PremRes!$C$8:$C$208,$H30,PremRes!$F$8:$F$208,$I30,PremRes!$D$8:$D$208,U$12),
TRUE,
SUMIFS(PremRes!$G$8:$G$208,PremRes!$B$8:$B$208,"level_"&amp;$G30,PremRes!$C$8:$C$208,$H30,PremRes!$F$8:$F$208,$I30,PremRes!$D$8:$D$208,U$12))</f>
        <v>0</v>
      </c>
      <c r="V30" s="13" cm="1">
        <f t="array" ref="V30">_xlfn.IFS($G30="__overall__",
SUMIFS(PremRes!$G$8:$G$208,PremRes!$B$8:$B$208,$G30,PremRes!$C$8:$C$208,$H30,PremRes!$F$8:$F$208,$I30,PremRes!$D$8:$D$208,V$12),
TRUE,
SUMIFS(PremRes!$G$8:$G$208,PremRes!$B$8:$B$208,"level_"&amp;$G30,PremRes!$C$8:$C$208,$H30,PremRes!$F$8:$F$208,$I30,PremRes!$D$8:$D$208,V$12))</f>
        <v>0</v>
      </c>
      <c r="X30" s="100">
        <f t="shared" si="5"/>
        <v>0</v>
      </c>
      <c r="Y30" s="100">
        <f t="shared" si="3"/>
        <v>0</v>
      </c>
      <c r="Z30" s="100">
        <f t="shared" si="4"/>
        <v>0</v>
      </c>
    </row>
    <row r="31" spans="1:26">
      <c r="F31" s="4">
        <v>18</v>
      </c>
      <c r="G31" s="4">
        <v>1</v>
      </c>
      <c r="H31" s="4" t="str">
        <v>intermediated</v>
      </c>
      <c r="I31" s="4" t="str">
        <v>company_g</v>
      </c>
      <c r="K31" s="13">
        <v>18</v>
      </c>
      <c r="L31" s="13">
        <v>3691728.313170922</v>
      </c>
      <c r="M31" s="13">
        <v>1138322.5655842416</v>
      </c>
      <c r="N31" s="13">
        <v>4373052.8190186145</v>
      </c>
      <c r="O31" s="10"/>
      <c r="P31" s="13">
        <f t="shared" si="0"/>
        <v>0</v>
      </c>
      <c r="Q31" s="13">
        <f t="shared" si="6"/>
        <v>0</v>
      </c>
      <c r="R31" s="13">
        <f t="shared" si="2"/>
        <v>0</v>
      </c>
      <c r="S31" s="11"/>
      <c r="T31" s="13" cm="1">
        <f t="array" ref="T31">_xlfn.IFS($G31="__overall__",
SUMIFS(PremRes!$G$8:$G$208,PremRes!$B$8:$B$208,$G31,PremRes!$C$8:$C$208,$H31,PremRes!$F$8:$F$208,$I31,PremRes!$D$8:$D$208,T$12),
TRUE,
SUMIFS(PremRes!$G$8:$G$208,PremRes!$B$8:$B$208,"level_"&amp;$G31,PremRes!$C$8:$C$208,$H31,PremRes!$F$8:$F$208,$I31,PremRes!$D$8:$D$208,T$12))</f>
        <v>0</v>
      </c>
      <c r="U31" s="13" cm="1">
        <f t="array" ref="U31">_xlfn.IFS($G31="__overall__",
SUMIFS(PremRes!$G$8:$G$208,PremRes!$B$8:$B$208,$G31,PremRes!$C$8:$C$208,$H31,PremRes!$F$8:$F$208,$I31,PremRes!$D$8:$D$208,U$12),
TRUE,
SUMIFS(PremRes!$G$8:$G$208,PremRes!$B$8:$B$208,"level_"&amp;$G31,PremRes!$C$8:$C$208,$H31,PremRes!$F$8:$F$208,$I31,PremRes!$D$8:$D$208,U$12))</f>
        <v>0</v>
      </c>
      <c r="V31" s="13" cm="1">
        <f t="array" ref="V31">_xlfn.IFS($G31="__overall__",
SUMIFS(PremRes!$G$8:$G$208,PremRes!$B$8:$B$208,$G31,PremRes!$C$8:$C$208,$H31,PremRes!$F$8:$F$208,$I31,PremRes!$D$8:$D$208,V$12),
TRUE,
SUMIFS(PremRes!$G$8:$G$208,PremRes!$B$8:$B$208,"level_"&amp;$G31,PremRes!$C$8:$C$208,$H31,PremRes!$F$8:$F$208,$I31,PremRes!$D$8:$D$208,V$12))</f>
        <v>0</v>
      </c>
      <c r="X31" s="100">
        <f t="shared" si="5"/>
        <v>0</v>
      </c>
      <c r="Y31" s="100">
        <f t="shared" si="3"/>
        <v>0</v>
      </c>
      <c r="Z31" s="100">
        <f t="shared" si="4"/>
        <v>0</v>
      </c>
    </row>
    <row r="32" spans="1:26">
      <c r="F32" s="4">
        <v>19</v>
      </c>
      <c r="G32" s="4">
        <v>1</v>
      </c>
      <c r="H32" s="4" t="str">
        <v>specialised</v>
      </c>
      <c r="I32" s="4" t="str">
        <v>gross charge</v>
      </c>
      <c r="K32" s="13">
        <v>19</v>
      </c>
      <c r="L32" s="13">
        <v>5306639.6045899959</v>
      </c>
      <c r="M32" s="13">
        <v>3034129.9573273254</v>
      </c>
      <c r="N32" s="13">
        <v>7346990.0228495384</v>
      </c>
      <c r="O32" s="10"/>
      <c r="P32" s="13">
        <f t="shared" si="0"/>
        <v>5306639.6045899959</v>
      </c>
      <c r="Q32" s="13">
        <f t="shared" si="6"/>
        <v>3034129.9573273254</v>
      </c>
      <c r="R32" s="13">
        <f t="shared" si="2"/>
        <v>7346990.0228495384</v>
      </c>
      <c r="S32" s="11"/>
      <c r="T32" s="13" cm="1">
        <f t="array" ref="T32">_xlfn.IFS($G32="__overall__",
SUMIFS(PremRes!$G$8:$G$208,PremRes!$B$8:$B$208,$G32,PremRes!$C$8:$C$208,$H32,PremRes!$F$8:$F$208,$I32,PremRes!$D$8:$D$208,T$12),
TRUE,
SUMIFS(PremRes!$G$8:$G$208,PremRes!$B$8:$B$208,"level_"&amp;$G32,PremRes!$C$8:$C$208,$H32,PremRes!$F$8:$F$208,$I32,PremRes!$D$8:$D$208,T$12))</f>
        <v>5306639.6045899959</v>
      </c>
      <c r="U32" s="13" cm="1">
        <f t="array" ref="U32">_xlfn.IFS($G32="__overall__",
SUMIFS(PremRes!$G$8:$G$208,PremRes!$B$8:$B$208,$G32,PremRes!$C$8:$C$208,$H32,PremRes!$F$8:$F$208,$I32,PremRes!$D$8:$D$208,U$12),
TRUE,
SUMIFS(PremRes!$G$8:$G$208,PremRes!$B$8:$B$208,"level_"&amp;$G32,PremRes!$C$8:$C$208,$H32,PremRes!$F$8:$F$208,$I32,PremRes!$D$8:$D$208,U$12))</f>
        <v>3034129.9573273254</v>
      </c>
      <c r="V32" s="13" cm="1">
        <f t="array" ref="V32">_xlfn.IFS($G32="__overall__",
SUMIFS(PremRes!$G$8:$G$208,PremRes!$B$8:$B$208,$G32,PremRes!$C$8:$C$208,$H32,PremRes!$F$8:$F$208,$I32,PremRes!$D$8:$D$208,V$12),
TRUE,
SUMIFS(PremRes!$G$8:$G$208,PremRes!$B$8:$B$208,"level_"&amp;$G32,PremRes!$C$8:$C$208,$H32,PremRes!$F$8:$F$208,$I32,PremRes!$D$8:$D$208,V$12))</f>
        <v>7346990.0228495374</v>
      </c>
      <c r="X32" s="100">
        <f t="shared" si="5"/>
        <v>0</v>
      </c>
      <c r="Y32" s="100">
        <f t="shared" si="3"/>
        <v>0</v>
      </c>
      <c r="Z32" s="100">
        <f t="shared" si="4"/>
        <v>0</v>
      </c>
    </row>
    <row r="33" spans="6:26">
      <c r="F33" s="4">
        <v>20</v>
      </c>
      <c r="G33" s="4">
        <v>1</v>
      </c>
      <c r="H33" s="4" t="str">
        <v>specialised</v>
      </c>
      <c r="I33" s="4" t="str">
        <v>net charge</v>
      </c>
      <c r="K33" s="13">
        <v>20</v>
      </c>
      <c r="L33" s="13">
        <v>5120290.5483812159</v>
      </c>
      <c r="M33" s="13">
        <v>2455405.5779135581</v>
      </c>
      <c r="N33" s="13">
        <v>6710063.8357270109</v>
      </c>
      <c r="O33" s="10"/>
      <c r="P33" s="13">
        <f t="shared" si="0"/>
        <v>5120290.5483812159</v>
      </c>
      <c r="Q33" s="13">
        <f t="shared" si="6"/>
        <v>2455405.5779135581</v>
      </c>
      <c r="R33" s="13">
        <f t="shared" si="2"/>
        <v>6710063.8357270109</v>
      </c>
      <c r="S33" s="11"/>
      <c r="T33" s="13" cm="1">
        <f t="array" ref="T33">_xlfn.IFS($G33="__overall__",
SUMIFS(PremRes!$G$8:$G$208,PremRes!$B$8:$B$208,$G33,PremRes!$C$8:$C$208,$H33,PremRes!$F$8:$F$208,$I33,PremRes!$D$8:$D$208,T$12),
TRUE,
SUMIFS(PremRes!$G$8:$G$208,PremRes!$B$8:$B$208,"level_"&amp;$G33,PremRes!$C$8:$C$208,$H33,PremRes!$F$8:$F$208,$I33,PremRes!$D$8:$D$208,T$12))</f>
        <v>5120290.5483812168</v>
      </c>
      <c r="U33" s="13" cm="1">
        <f t="array" ref="U33">_xlfn.IFS($G33="__overall__",
SUMIFS(PremRes!$G$8:$G$208,PremRes!$B$8:$B$208,$G33,PremRes!$C$8:$C$208,$H33,PremRes!$F$8:$F$208,$I33,PremRes!$D$8:$D$208,U$12),
TRUE,
SUMIFS(PremRes!$G$8:$G$208,PremRes!$B$8:$B$208,"level_"&amp;$G33,PremRes!$C$8:$C$208,$H33,PremRes!$F$8:$F$208,$I33,PremRes!$D$8:$D$208,U$12))</f>
        <v>2455405.5779135581</v>
      </c>
      <c r="V33" s="13" cm="1">
        <f t="array" ref="V33">_xlfn.IFS($G33="__overall__",
SUMIFS(PremRes!$G$8:$G$208,PremRes!$B$8:$B$208,$G33,PremRes!$C$8:$C$208,$H33,PremRes!$F$8:$F$208,$I33,PremRes!$D$8:$D$208,V$12),
TRUE,
SUMIFS(PremRes!$G$8:$G$208,PremRes!$B$8:$B$208,"level_"&amp;$G33,PremRes!$C$8:$C$208,$H33,PremRes!$F$8:$F$208,$I33,PremRes!$D$8:$D$208,V$12))</f>
        <v>6710063.8357270118</v>
      </c>
      <c r="X33" s="100">
        <f t="shared" si="5"/>
        <v>0</v>
      </c>
      <c r="Y33" s="100">
        <f t="shared" si="3"/>
        <v>0</v>
      </c>
      <c r="Z33" s="100">
        <f t="shared" si="4"/>
        <v>0</v>
      </c>
    </row>
    <row r="34" spans="6:26">
      <c r="F34" s="4">
        <v>21</v>
      </c>
      <c r="G34" s="4">
        <v>1</v>
      </c>
      <c r="H34" s="4" t="str">
        <v>specialised</v>
      </c>
      <c r="I34" s="4" t="str">
        <v>calculated net charge</v>
      </c>
      <c r="K34" s="13">
        <v>21</v>
      </c>
      <c r="L34" s="13">
        <v>4680468.1722882874</v>
      </c>
      <c r="M34" s="13">
        <v>2507018.5387761029</v>
      </c>
      <c r="N34" s="13">
        <v>6352716.8541807383</v>
      </c>
      <c r="O34" s="10"/>
      <c r="P34" s="13">
        <f t="shared" si="0"/>
        <v>4680468.1722882874</v>
      </c>
      <c r="Q34" s="13">
        <f t="shared" si="6"/>
        <v>2507018.5387761029</v>
      </c>
      <c r="R34" s="13">
        <f t="shared" si="2"/>
        <v>6352716.8541807383</v>
      </c>
      <c r="S34" s="11"/>
      <c r="T34" s="13" cm="1">
        <f t="array" ref="T34">_xlfn.IFS($G34="__overall__",
SUMIFS(PremRes!$G$8:$G$208,PremRes!$B$8:$B$208,$G34,PremRes!$C$8:$C$208,$H34,PremRes!$F$8:$F$208,$I34,PremRes!$D$8:$D$208,T$12),
TRUE,
SUMIFS(PremRes!$G$8:$G$208,PremRes!$B$8:$B$208,"level_"&amp;$G34,PremRes!$C$8:$C$208,$H34,PremRes!$F$8:$F$208,$I34,PremRes!$D$8:$D$208,T$12))</f>
        <v>4680468.1722882874</v>
      </c>
      <c r="U34" s="13" cm="1">
        <f t="array" ref="U34">_xlfn.IFS($G34="__overall__",
SUMIFS(PremRes!$G$8:$G$208,PremRes!$B$8:$B$208,$G34,PremRes!$C$8:$C$208,$H34,PremRes!$F$8:$F$208,$I34,PremRes!$D$8:$D$208,U$12),
TRUE,
SUMIFS(PremRes!$G$8:$G$208,PremRes!$B$8:$B$208,"level_"&amp;$G34,PremRes!$C$8:$C$208,$H34,PremRes!$F$8:$F$208,$I34,PremRes!$D$8:$D$208,U$12))</f>
        <v>2507018.5387761025</v>
      </c>
      <c r="V34" s="13" cm="1">
        <f t="array" ref="V34">_xlfn.IFS($G34="__overall__",
SUMIFS(PremRes!$G$8:$G$208,PremRes!$B$8:$B$208,$G34,PremRes!$C$8:$C$208,$H34,PremRes!$F$8:$F$208,$I34,PremRes!$D$8:$D$208,V$12),
TRUE,
SUMIFS(PremRes!$G$8:$G$208,PremRes!$B$8:$B$208,"level_"&amp;$G34,PremRes!$C$8:$C$208,$H34,PremRes!$F$8:$F$208,$I34,PremRes!$D$8:$D$208,V$12))</f>
        <v>6352716.8541807383</v>
      </c>
      <c r="X34" s="100">
        <f t="shared" si="5"/>
        <v>0</v>
      </c>
      <c r="Y34" s="100">
        <f t="shared" si="3"/>
        <v>0</v>
      </c>
      <c r="Z34" s="100">
        <f t="shared" si="4"/>
        <v>0</v>
      </c>
    </row>
    <row r="35" spans="6:26">
      <c r="F35" s="4">
        <v>22</v>
      </c>
      <c r="G35" s="4">
        <v>1</v>
      </c>
      <c r="H35" s="4" t="str">
        <v>specialised</v>
      </c>
      <c r="I35" s="4" t="str">
        <v>company_a</v>
      </c>
      <c r="K35" s="13">
        <v>22</v>
      </c>
      <c r="L35" s="13">
        <v>4905164.8635003567</v>
      </c>
      <c r="M35" s="13">
        <v>2742862.6397056291</v>
      </c>
      <c r="N35" s="13">
        <v>6745529.1188677736</v>
      </c>
      <c r="O35" s="10"/>
      <c r="P35" s="13">
        <f t="shared" si="0"/>
        <v>224696.69121206924</v>
      </c>
      <c r="Q35" s="13">
        <f t="shared" si="6"/>
        <v>235844.10092952615</v>
      </c>
      <c r="R35" s="13">
        <f t="shared" si="2"/>
        <v>392812.26468703523</v>
      </c>
      <c r="S35" s="11"/>
      <c r="T35" s="13" cm="1">
        <f t="array" ref="T35">_xlfn.IFS($G35="__overall__",
SUMIFS(PremRes!$G$8:$G$208,PremRes!$B$8:$B$208,$G35,PremRes!$C$8:$C$208,$H35,PremRes!$F$8:$F$208,$I35,PremRes!$D$8:$D$208,T$12),
TRUE,
SUMIFS(PremRes!$G$8:$G$208,PremRes!$B$8:$B$208,"level_"&amp;$G35,PremRes!$C$8:$C$208,$H35,PremRes!$F$8:$F$208,$I35,PremRes!$D$8:$D$208,T$12))</f>
        <v>224696.69121206924</v>
      </c>
      <c r="U35" s="13" cm="1">
        <f t="array" ref="U35">_xlfn.IFS($G35="__overall__",
SUMIFS(PremRes!$G$8:$G$208,PremRes!$B$8:$B$208,$G35,PremRes!$C$8:$C$208,$H35,PremRes!$F$8:$F$208,$I35,PremRes!$D$8:$D$208,U$12),
TRUE,
SUMIFS(PremRes!$G$8:$G$208,PremRes!$B$8:$B$208,"level_"&amp;$G35,PremRes!$C$8:$C$208,$H35,PremRes!$F$8:$F$208,$I35,PremRes!$D$8:$D$208,U$12))</f>
        <v>235844.10092952661</v>
      </c>
      <c r="V35" s="13" cm="1">
        <f t="array" ref="V35">_xlfn.IFS($G35="__overall__",
SUMIFS(PremRes!$G$8:$G$208,PremRes!$B$8:$B$208,$G35,PremRes!$C$8:$C$208,$H35,PremRes!$F$8:$F$208,$I35,PremRes!$D$8:$D$208,V$12),
TRUE,
SUMIFS(PremRes!$G$8:$G$208,PremRes!$B$8:$B$208,"level_"&amp;$G35,PremRes!$C$8:$C$208,$H35,PremRes!$F$8:$F$208,$I35,PremRes!$D$8:$D$208,V$12))</f>
        <v>392812.26468703337</v>
      </c>
      <c r="X35" s="100">
        <f t="shared" si="5"/>
        <v>0</v>
      </c>
      <c r="Y35" s="100">
        <f t="shared" si="3"/>
        <v>-4.6566128730773926E-10</v>
      </c>
      <c r="Z35" s="100">
        <f t="shared" si="4"/>
        <v>1.862645149230957E-9</v>
      </c>
    </row>
    <row r="36" spans="6:26">
      <c r="F36" s="4">
        <v>23</v>
      </c>
      <c r="G36" s="4">
        <v>1</v>
      </c>
      <c r="H36" s="4" t="str">
        <v>specialised</v>
      </c>
      <c r="I36" s="4" t="str">
        <v>company_b</v>
      </c>
      <c r="K36" s="13">
        <v>23</v>
      </c>
      <c r="L36" s="13">
        <v>4935350.2792663304</v>
      </c>
      <c r="M36" s="13">
        <v>2727406.6201843969</v>
      </c>
      <c r="N36" s="13">
        <v>6762051.6101975571</v>
      </c>
      <c r="O36" s="10"/>
      <c r="P36" s="13">
        <f t="shared" si="0"/>
        <v>254882.10697804298</v>
      </c>
      <c r="Q36" s="13">
        <f t="shared" si="6"/>
        <v>220388.08140829392</v>
      </c>
      <c r="R36" s="13">
        <f t="shared" si="2"/>
        <v>409334.75601681881</v>
      </c>
      <c r="S36" s="11"/>
      <c r="T36" s="13" cm="1">
        <f t="array" ref="T36">_xlfn.IFS($G36="__overall__",
SUMIFS(PremRes!$G$8:$G$208,PremRes!$B$8:$B$208,$G36,PremRes!$C$8:$C$208,$H36,PremRes!$F$8:$F$208,$I36,PremRes!$D$8:$D$208,T$12),
TRUE,
SUMIFS(PremRes!$G$8:$G$208,PremRes!$B$8:$B$208,"level_"&amp;$G36,PremRes!$C$8:$C$208,$H36,PremRes!$F$8:$F$208,$I36,PremRes!$D$8:$D$208,T$12))</f>
        <v>254882.10697804391</v>
      </c>
      <c r="U36" s="13" cm="1">
        <f t="array" ref="U36">_xlfn.IFS($G36="__overall__",
SUMIFS(PremRes!$G$8:$G$208,PremRes!$B$8:$B$208,$G36,PremRes!$C$8:$C$208,$H36,PremRes!$F$8:$F$208,$I36,PremRes!$D$8:$D$208,U$12),
TRUE,
SUMIFS(PremRes!$G$8:$G$208,PremRes!$B$8:$B$208,"level_"&amp;$G36,PremRes!$C$8:$C$208,$H36,PremRes!$F$8:$F$208,$I36,PremRes!$D$8:$D$208,U$12))</f>
        <v>220388.08140829438</v>
      </c>
      <c r="V36" s="13" cm="1">
        <f t="array" ref="V36">_xlfn.IFS($G36="__overall__",
SUMIFS(PremRes!$G$8:$G$208,PremRes!$B$8:$B$208,$G36,PremRes!$C$8:$C$208,$H36,PremRes!$F$8:$F$208,$I36,PremRes!$D$8:$D$208,V$12),
TRUE,
SUMIFS(PremRes!$G$8:$G$208,PremRes!$B$8:$B$208,"level_"&amp;$G36,PremRes!$C$8:$C$208,$H36,PremRes!$F$8:$F$208,$I36,PremRes!$D$8:$D$208,V$12))</f>
        <v>409334.75601681881</v>
      </c>
      <c r="X36" s="100">
        <f t="shared" si="5"/>
        <v>-9.3132257461547852E-10</v>
      </c>
      <c r="Y36" s="100">
        <f t="shared" si="3"/>
        <v>-4.6566128730773926E-10</v>
      </c>
      <c r="Z36" s="100">
        <f t="shared" si="4"/>
        <v>0</v>
      </c>
    </row>
    <row r="37" spans="6:26">
      <c r="F37" s="4">
        <v>24</v>
      </c>
      <c r="G37" s="4">
        <v>1</v>
      </c>
      <c r="H37" s="4" t="str">
        <v>specialised</v>
      </c>
      <c r="I37" s="4" t="str">
        <v>company_c</v>
      </c>
      <c r="K37" s="13">
        <v>24</v>
      </c>
      <c r="L37" s="13">
        <v>4819615.1025340799</v>
      </c>
      <c r="M37" s="13">
        <v>2568243.3039642768</v>
      </c>
      <c r="N37" s="13">
        <v>6530810.5503841108</v>
      </c>
      <c r="O37" s="10"/>
      <c r="P37" s="13">
        <f t="shared" si="0"/>
        <v>139146.93024579249</v>
      </c>
      <c r="Q37" s="13">
        <f t="shared" si="6"/>
        <v>61224.765188173857</v>
      </c>
      <c r="R37" s="13">
        <f t="shared" si="2"/>
        <v>178093.69620337244</v>
      </c>
      <c r="S37" s="11"/>
      <c r="T37" s="13" cm="1">
        <f t="array" ref="T37">_xlfn.IFS($G37="__overall__",
SUMIFS(PremRes!$G$8:$G$208,PremRes!$B$8:$B$208,$G37,PremRes!$C$8:$C$208,$H37,PremRes!$F$8:$F$208,$I37,PremRes!$D$8:$D$208,T$12),
TRUE,
SUMIFS(PremRes!$G$8:$G$208,PremRes!$B$8:$B$208,"level_"&amp;$G37,PremRes!$C$8:$C$208,$H37,PremRes!$F$8:$F$208,$I37,PremRes!$D$8:$D$208,T$12))</f>
        <v>139146.93024579342</v>
      </c>
      <c r="U37" s="13" cm="1">
        <f t="array" ref="U37">_xlfn.IFS($G37="__overall__",
SUMIFS(PremRes!$G$8:$G$208,PremRes!$B$8:$B$208,$G37,PremRes!$C$8:$C$208,$H37,PremRes!$F$8:$F$208,$I37,PremRes!$D$8:$D$208,U$12),
TRUE,
SUMIFS(PremRes!$G$8:$G$208,PremRes!$B$8:$B$208,"level_"&amp;$G37,PremRes!$C$8:$C$208,$H37,PremRes!$F$8:$F$208,$I37,PremRes!$D$8:$D$208,U$12))</f>
        <v>61224.765188174788</v>
      </c>
      <c r="V37" s="13" cm="1">
        <f t="array" ref="V37">_xlfn.IFS($G37="__overall__",
SUMIFS(PremRes!$G$8:$G$208,PremRes!$B$8:$B$208,$G37,PremRes!$C$8:$C$208,$H37,PremRes!$F$8:$F$208,$I37,PremRes!$D$8:$D$208,V$12),
TRUE,
SUMIFS(PremRes!$G$8:$G$208,PremRes!$B$8:$B$208,"level_"&amp;$G37,PremRes!$C$8:$C$208,$H37,PremRes!$F$8:$F$208,$I37,PremRes!$D$8:$D$208,V$12))</f>
        <v>178093.69620337337</v>
      </c>
      <c r="X37" s="100">
        <f t="shared" si="5"/>
        <v>-9.3132257461547852E-10</v>
      </c>
      <c r="Y37" s="100">
        <f t="shared" si="3"/>
        <v>-9.3132257461547852E-10</v>
      </c>
      <c r="Z37" s="100">
        <f t="shared" si="4"/>
        <v>-9.3132257461547852E-10</v>
      </c>
    </row>
    <row r="38" spans="6:26">
      <c r="F38" s="4">
        <v>25</v>
      </c>
      <c r="G38" s="4">
        <v>1</v>
      </c>
      <c r="H38" s="4" t="str">
        <v>specialised</v>
      </c>
      <c r="I38" s="4" t="str">
        <v>company_d</v>
      </c>
      <c r="K38" s="13">
        <v>25</v>
      </c>
      <c r="L38" s="13">
        <v>4680468.1722882874</v>
      </c>
      <c r="M38" s="13">
        <v>2507018.5387761029</v>
      </c>
      <c r="N38" s="13">
        <v>6352716.8541807383</v>
      </c>
      <c r="O38" s="10"/>
      <c r="P38" s="13">
        <f t="shared" si="0"/>
        <v>0</v>
      </c>
      <c r="Q38" s="13">
        <f t="shared" si="6"/>
        <v>0</v>
      </c>
      <c r="R38" s="13">
        <f t="shared" si="2"/>
        <v>0</v>
      </c>
      <c r="S38" s="11"/>
      <c r="T38" s="13" cm="1">
        <f t="array" ref="T38">_xlfn.IFS($G38="__overall__",
SUMIFS(PremRes!$G$8:$G$208,PremRes!$B$8:$B$208,$G38,PremRes!$C$8:$C$208,$H38,PremRes!$F$8:$F$208,$I38,PremRes!$D$8:$D$208,T$12),
TRUE,
SUMIFS(PremRes!$G$8:$G$208,PremRes!$B$8:$B$208,"level_"&amp;$G38,PremRes!$C$8:$C$208,$H38,PremRes!$F$8:$F$208,$I38,PremRes!$D$8:$D$208,T$12))</f>
        <v>0</v>
      </c>
      <c r="U38" s="13" cm="1">
        <f t="array" ref="U38">_xlfn.IFS($G38="__overall__",
SUMIFS(PremRes!$G$8:$G$208,PremRes!$B$8:$B$208,$G38,PremRes!$C$8:$C$208,$H38,PremRes!$F$8:$F$208,$I38,PremRes!$D$8:$D$208,U$12),
TRUE,
SUMIFS(PremRes!$G$8:$G$208,PremRes!$B$8:$B$208,"level_"&amp;$G38,PremRes!$C$8:$C$208,$H38,PremRes!$F$8:$F$208,$I38,PremRes!$D$8:$D$208,U$12))</f>
        <v>0</v>
      </c>
      <c r="V38" s="13" cm="1">
        <f t="array" ref="V38">_xlfn.IFS($G38="__overall__",
SUMIFS(PremRes!$G$8:$G$208,PremRes!$B$8:$B$208,$G38,PremRes!$C$8:$C$208,$H38,PremRes!$F$8:$F$208,$I38,PremRes!$D$8:$D$208,V$12),
TRUE,
SUMIFS(PremRes!$G$8:$G$208,PremRes!$B$8:$B$208,"level_"&amp;$G38,PremRes!$C$8:$C$208,$H38,PremRes!$F$8:$F$208,$I38,PremRes!$D$8:$D$208,V$12))</f>
        <v>0</v>
      </c>
      <c r="X38" s="100">
        <f t="shared" si="5"/>
        <v>0</v>
      </c>
      <c r="Y38" s="100">
        <f t="shared" si="3"/>
        <v>0</v>
      </c>
      <c r="Z38" s="100">
        <f t="shared" si="4"/>
        <v>0</v>
      </c>
    </row>
    <row r="39" spans="6:26">
      <c r="F39" s="4">
        <v>26</v>
      </c>
      <c r="G39" s="4">
        <v>1</v>
      </c>
      <c r="H39" s="4" t="str">
        <v>specialised</v>
      </c>
      <c r="I39" s="4" t="str">
        <v>company_e</v>
      </c>
      <c r="K39" s="13">
        <v>26</v>
      </c>
      <c r="L39" s="13">
        <v>4680468.1722882874</v>
      </c>
      <c r="M39" s="13">
        <v>2507018.5387761029</v>
      </c>
      <c r="N39" s="13">
        <v>6352716.8541807383</v>
      </c>
      <c r="O39" s="10"/>
      <c r="P39" s="13">
        <f t="shared" si="0"/>
        <v>0</v>
      </c>
      <c r="Q39" s="13">
        <f t="shared" si="6"/>
        <v>0</v>
      </c>
      <c r="R39" s="13">
        <f t="shared" si="2"/>
        <v>0</v>
      </c>
      <c r="S39" s="11"/>
      <c r="T39" s="13" cm="1">
        <f t="array" ref="T39">_xlfn.IFS($G39="__overall__",
SUMIFS(PremRes!$G$8:$G$208,PremRes!$B$8:$B$208,$G39,PremRes!$C$8:$C$208,$H39,PremRes!$F$8:$F$208,$I39,PremRes!$D$8:$D$208,T$12),
TRUE,
SUMIFS(PremRes!$G$8:$G$208,PremRes!$B$8:$B$208,"level_"&amp;$G39,PremRes!$C$8:$C$208,$H39,PremRes!$F$8:$F$208,$I39,PremRes!$D$8:$D$208,T$12))</f>
        <v>0</v>
      </c>
      <c r="U39" s="13" cm="1">
        <f t="array" ref="U39">_xlfn.IFS($G39="__overall__",
SUMIFS(PremRes!$G$8:$G$208,PremRes!$B$8:$B$208,$G39,PremRes!$C$8:$C$208,$H39,PremRes!$F$8:$F$208,$I39,PremRes!$D$8:$D$208,U$12),
TRUE,
SUMIFS(PremRes!$G$8:$G$208,PremRes!$B$8:$B$208,"level_"&amp;$G39,PremRes!$C$8:$C$208,$H39,PremRes!$F$8:$F$208,$I39,PremRes!$D$8:$D$208,U$12))</f>
        <v>0</v>
      </c>
      <c r="V39" s="13" cm="1">
        <f t="array" ref="V39">_xlfn.IFS($G39="__overall__",
SUMIFS(PremRes!$G$8:$G$208,PremRes!$B$8:$B$208,$G39,PremRes!$C$8:$C$208,$H39,PremRes!$F$8:$F$208,$I39,PremRes!$D$8:$D$208,V$12),
TRUE,
SUMIFS(PremRes!$G$8:$G$208,PremRes!$B$8:$B$208,"level_"&amp;$G39,PremRes!$C$8:$C$208,$H39,PremRes!$F$8:$F$208,$I39,PremRes!$D$8:$D$208,V$12))</f>
        <v>0</v>
      </c>
      <c r="X39" s="100">
        <f t="shared" si="5"/>
        <v>0</v>
      </c>
      <c r="Y39" s="100">
        <f t="shared" si="3"/>
        <v>0</v>
      </c>
      <c r="Z39" s="100">
        <f t="shared" si="4"/>
        <v>0</v>
      </c>
    </row>
    <row r="40" spans="6:26">
      <c r="F40" s="4">
        <v>27</v>
      </c>
      <c r="G40" s="4">
        <v>1</v>
      </c>
      <c r="H40" s="4" t="str">
        <v>specialised</v>
      </c>
      <c r="I40" s="4" t="str">
        <v>company_g</v>
      </c>
      <c r="K40" s="13">
        <v>27</v>
      </c>
      <c r="L40" s="13">
        <v>4680468.1722882874</v>
      </c>
      <c r="M40" s="13">
        <v>2507018.5387761029</v>
      </c>
      <c r="N40" s="13">
        <v>6352716.8541807383</v>
      </c>
      <c r="O40" s="10"/>
      <c r="P40" s="13">
        <f t="shared" si="0"/>
        <v>0</v>
      </c>
      <c r="Q40" s="13">
        <f t="shared" si="6"/>
        <v>0</v>
      </c>
      <c r="R40" s="13">
        <f t="shared" si="2"/>
        <v>0</v>
      </c>
      <c r="S40" s="11"/>
      <c r="T40" s="13" cm="1">
        <f t="array" ref="T40">_xlfn.IFS($G40="__overall__",
SUMIFS(PremRes!$G$8:$G$208,PremRes!$B$8:$B$208,$G40,PremRes!$C$8:$C$208,$H40,PremRes!$F$8:$F$208,$I40,PremRes!$D$8:$D$208,T$12),
TRUE,
SUMIFS(PremRes!$G$8:$G$208,PremRes!$B$8:$B$208,"level_"&amp;$G40,PremRes!$C$8:$C$208,$H40,PremRes!$F$8:$F$208,$I40,PremRes!$D$8:$D$208,T$12))</f>
        <v>0</v>
      </c>
      <c r="U40" s="13" cm="1">
        <f t="array" ref="U40">_xlfn.IFS($G40="__overall__",
SUMIFS(PremRes!$G$8:$G$208,PremRes!$B$8:$B$208,$G40,PremRes!$C$8:$C$208,$H40,PremRes!$F$8:$F$208,$I40,PremRes!$D$8:$D$208,U$12),
TRUE,
SUMIFS(PremRes!$G$8:$G$208,PremRes!$B$8:$B$208,"level_"&amp;$G40,PremRes!$C$8:$C$208,$H40,PremRes!$F$8:$F$208,$I40,PremRes!$D$8:$D$208,U$12))</f>
        <v>0</v>
      </c>
      <c r="V40" s="13" cm="1">
        <f t="array" ref="V40">_xlfn.IFS($G40="__overall__",
SUMIFS(PremRes!$G$8:$G$208,PremRes!$B$8:$B$208,$G40,PremRes!$C$8:$C$208,$H40,PremRes!$F$8:$F$208,$I40,PremRes!$D$8:$D$208,V$12),
TRUE,
SUMIFS(PremRes!$G$8:$G$208,PremRes!$B$8:$B$208,"level_"&amp;$G40,PremRes!$C$8:$C$208,$H40,PremRes!$F$8:$F$208,$I40,PremRes!$D$8:$D$208,V$12))</f>
        <v>0</v>
      </c>
      <c r="X40" s="100">
        <f t="shared" si="5"/>
        <v>0</v>
      </c>
      <c r="Y40" s="100">
        <f t="shared" si="3"/>
        <v>0</v>
      </c>
      <c r="Z40" s="100">
        <f t="shared" si="4"/>
        <v>0</v>
      </c>
    </row>
    <row r="41" spans="6:26">
      <c r="F41" s="4">
        <v>28</v>
      </c>
      <c r="G41" s="4">
        <v>1</v>
      </c>
      <c r="H41" s="4" t="str">
        <v>partnerships</v>
      </c>
      <c r="I41" s="4" t="str">
        <v>gross charge</v>
      </c>
      <c r="K41" s="13">
        <v>28</v>
      </c>
      <c r="L41" s="13">
        <v>679467.3</v>
      </c>
      <c r="M41" s="13">
        <v>201761.33670000001</v>
      </c>
      <c r="N41" s="13">
        <v>799670.98199709656</v>
      </c>
      <c r="O41" s="10"/>
      <c r="P41" s="13">
        <f t="shared" si="0"/>
        <v>679467.3</v>
      </c>
      <c r="Q41" s="13">
        <f t="shared" si="6"/>
        <v>201761.33670000001</v>
      </c>
      <c r="R41" s="13">
        <f t="shared" si="2"/>
        <v>799670.98199709656</v>
      </c>
      <c r="S41" s="11"/>
      <c r="T41" s="13" cm="1">
        <f t="array" ref="T41">_xlfn.IFS($G41="__overall__",
SUMIFS(PremRes!$G$8:$G$208,PremRes!$B$8:$B$208,$G41,PremRes!$C$8:$C$208,$H41,PremRes!$F$8:$F$208,$I41,PremRes!$D$8:$D$208,T$12),
TRUE,
SUMIFS(PremRes!$G$8:$G$208,PremRes!$B$8:$B$208,"level_"&amp;$G41,PremRes!$C$8:$C$208,$H41,PremRes!$F$8:$F$208,$I41,PremRes!$D$8:$D$208,T$12))</f>
        <v>679467.3</v>
      </c>
      <c r="U41" s="13" cm="1">
        <f t="array" ref="U41">_xlfn.IFS($G41="__overall__",
SUMIFS(PremRes!$G$8:$G$208,PremRes!$B$8:$B$208,$G41,PremRes!$C$8:$C$208,$H41,PremRes!$F$8:$F$208,$I41,PremRes!$D$8:$D$208,U$12),
TRUE,
SUMIFS(PremRes!$G$8:$G$208,PremRes!$B$8:$B$208,"level_"&amp;$G41,PremRes!$C$8:$C$208,$H41,PremRes!$F$8:$F$208,$I41,PremRes!$D$8:$D$208,U$12))</f>
        <v>201761.33670000001</v>
      </c>
      <c r="V41" s="13" cm="1">
        <f t="array" ref="V41">_xlfn.IFS($G41="__overall__",
SUMIFS(PremRes!$G$8:$G$208,PremRes!$B$8:$B$208,$G41,PremRes!$C$8:$C$208,$H41,PremRes!$F$8:$F$208,$I41,PremRes!$D$8:$D$208,V$12),
TRUE,
SUMIFS(PremRes!$G$8:$G$208,PremRes!$B$8:$B$208,"level_"&amp;$G41,PremRes!$C$8:$C$208,$H41,PremRes!$F$8:$F$208,$I41,PremRes!$D$8:$D$208,V$12))</f>
        <v>799670.98199709656</v>
      </c>
      <c r="X41" s="100">
        <f t="shared" si="5"/>
        <v>0</v>
      </c>
      <c r="Y41" s="100">
        <f t="shared" si="3"/>
        <v>0</v>
      </c>
      <c r="Z41" s="100">
        <f t="shared" si="4"/>
        <v>0</v>
      </c>
    </row>
    <row r="42" spans="6:26">
      <c r="F42" s="4">
        <v>29</v>
      </c>
      <c r="G42" s="4">
        <v>1</v>
      </c>
      <c r="H42" s="4" t="str">
        <v>partnerships</v>
      </c>
      <c r="I42" s="4" t="str">
        <v>net charge</v>
      </c>
      <c r="K42" s="13">
        <v>29</v>
      </c>
      <c r="L42" s="13">
        <v>679331.10000000009</v>
      </c>
      <c r="M42" s="13">
        <v>201761.33670000001</v>
      </c>
      <c r="N42" s="13">
        <v>799538.07364756695</v>
      </c>
      <c r="O42" s="10"/>
      <c r="P42" s="13">
        <f t="shared" si="0"/>
        <v>679331.10000000009</v>
      </c>
      <c r="Q42" s="13">
        <f t="shared" si="6"/>
        <v>201761.33670000001</v>
      </c>
      <c r="R42" s="13">
        <f t="shared" si="2"/>
        <v>799538.07364756695</v>
      </c>
      <c r="S42" s="11"/>
      <c r="T42" s="13" cm="1">
        <f t="array" ref="T42">_xlfn.IFS($G42="__overall__",
SUMIFS(PremRes!$G$8:$G$208,PremRes!$B$8:$B$208,$G42,PremRes!$C$8:$C$208,$H42,PremRes!$F$8:$F$208,$I42,PremRes!$D$8:$D$208,T$12),
TRUE,
SUMIFS(PremRes!$G$8:$G$208,PremRes!$B$8:$B$208,"level_"&amp;$G42,PremRes!$C$8:$C$208,$H42,PremRes!$F$8:$F$208,$I42,PremRes!$D$8:$D$208,T$12))</f>
        <v>679331.10000000009</v>
      </c>
      <c r="U42" s="13" cm="1">
        <f t="array" ref="U42">_xlfn.IFS($G42="__overall__",
SUMIFS(PremRes!$G$8:$G$208,PremRes!$B$8:$B$208,$G42,PremRes!$C$8:$C$208,$H42,PremRes!$F$8:$F$208,$I42,PremRes!$D$8:$D$208,U$12),
TRUE,
SUMIFS(PremRes!$G$8:$G$208,PremRes!$B$8:$B$208,"level_"&amp;$G42,PremRes!$C$8:$C$208,$H42,PremRes!$F$8:$F$208,$I42,PremRes!$D$8:$D$208,U$12))</f>
        <v>201761.33670000001</v>
      </c>
      <c r="V42" s="13" cm="1">
        <f t="array" ref="V42">_xlfn.IFS($G42="__overall__",
SUMIFS(PremRes!$G$8:$G$208,PremRes!$B$8:$B$208,$G42,PremRes!$C$8:$C$208,$H42,PremRes!$F$8:$F$208,$I42,PremRes!$D$8:$D$208,V$12),
TRUE,
SUMIFS(PremRes!$G$8:$G$208,PremRes!$B$8:$B$208,"level_"&amp;$G42,PremRes!$C$8:$C$208,$H42,PremRes!$F$8:$F$208,$I42,PremRes!$D$8:$D$208,V$12))</f>
        <v>799538.07364756695</v>
      </c>
      <c r="X42" s="100">
        <f t="shared" si="5"/>
        <v>0</v>
      </c>
      <c r="Y42" s="100">
        <f t="shared" si="3"/>
        <v>0</v>
      </c>
      <c r="Z42" s="100">
        <f t="shared" si="4"/>
        <v>0</v>
      </c>
    </row>
    <row r="43" spans="6:26">
      <c r="F43" s="4">
        <v>30</v>
      </c>
      <c r="G43" s="4">
        <v>1</v>
      </c>
      <c r="H43" s="4" t="str">
        <v>partnerships</v>
      </c>
      <c r="I43" s="4" t="str">
        <v>calculated net charge</v>
      </c>
      <c r="K43" s="13">
        <v>30</v>
      </c>
      <c r="L43" s="13">
        <v>679467.3</v>
      </c>
      <c r="M43" s="13">
        <v>201761.33670000001</v>
      </c>
      <c r="N43" s="13">
        <v>799670.98199709656</v>
      </c>
      <c r="O43" s="10"/>
      <c r="P43" s="13">
        <f t="shared" si="0"/>
        <v>679467.3</v>
      </c>
      <c r="Q43" s="13">
        <f t="shared" si="6"/>
        <v>201761.33670000001</v>
      </c>
      <c r="R43" s="13">
        <f t="shared" si="2"/>
        <v>799670.98199709656</v>
      </c>
      <c r="S43" s="11"/>
      <c r="T43" s="13" cm="1">
        <f t="array" ref="T43">_xlfn.IFS($G43="__overall__",
SUMIFS(PremRes!$G$8:$G$208,PremRes!$B$8:$B$208,$G43,PremRes!$C$8:$C$208,$H43,PremRes!$F$8:$F$208,$I43,PremRes!$D$8:$D$208,T$12),
TRUE,
SUMIFS(PremRes!$G$8:$G$208,PremRes!$B$8:$B$208,"level_"&amp;$G43,PremRes!$C$8:$C$208,$H43,PremRes!$F$8:$F$208,$I43,PremRes!$D$8:$D$208,T$12))</f>
        <v>679467.3</v>
      </c>
      <c r="U43" s="13" cm="1">
        <f t="array" ref="U43">_xlfn.IFS($G43="__overall__",
SUMIFS(PremRes!$G$8:$G$208,PremRes!$B$8:$B$208,$G43,PremRes!$C$8:$C$208,$H43,PremRes!$F$8:$F$208,$I43,PremRes!$D$8:$D$208,U$12),
TRUE,
SUMIFS(PremRes!$G$8:$G$208,PremRes!$B$8:$B$208,"level_"&amp;$G43,PremRes!$C$8:$C$208,$H43,PremRes!$F$8:$F$208,$I43,PremRes!$D$8:$D$208,U$12))</f>
        <v>201761.33670000001</v>
      </c>
      <c r="V43" s="13" cm="1">
        <f t="array" ref="V43">_xlfn.IFS($G43="__overall__",
SUMIFS(PremRes!$G$8:$G$208,PremRes!$B$8:$B$208,$G43,PremRes!$C$8:$C$208,$H43,PremRes!$F$8:$F$208,$I43,PremRes!$D$8:$D$208,V$12),
TRUE,
SUMIFS(PremRes!$G$8:$G$208,PremRes!$B$8:$B$208,"level_"&amp;$G43,PremRes!$C$8:$C$208,$H43,PremRes!$F$8:$F$208,$I43,PremRes!$D$8:$D$208,V$12))</f>
        <v>799670.98199709656</v>
      </c>
      <c r="X43" s="100">
        <f t="shared" si="5"/>
        <v>0</v>
      </c>
      <c r="Y43" s="100">
        <f t="shared" si="3"/>
        <v>0</v>
      </c>
      <c r="Z43" s="100">
        <f t="shared" si="4"/>
        <v>0</v>
      </c>
    </row>
    <row r="44" spans="6:26">
      <c r="F44" s="4">
        <v>31</v>
      </c>
      <c r="G44" s="4">
        <v>1</v>
      </c>
      <c r="H44" s="4" t="str">
        <v>partnerships</v>
      </c>
      <c r="I44" s="4" t="str">
        <v>company_a</v>
      </c>
      <c r="K44" s="13">
        <v>31</v>
      </c>
      <c r="L44" s="13">
        <v>679467.3</v>
      </c>
      <c r="M44" s="13">
        <v>201761.33670000001</v>
      </c>
      <c r="N44" s="13">
        <v>799670.98199709656</v>
      </c>
      <c r="O44" s="10"/>
      <c r="P44" s="13">
        <f t="shared" si="0"/>
        <v>0</v>
      </c>
      <c r="Q44" s="13">
        <f t="shared" si="6"/>
        <v>0</v>
      </c>
      <c r="R44" s="13">
        <f t="shared" si="2"/>
        <v>0</v>
      </c>
      <c r="S44" s="11"/>
      <c r="T44" s="13" cm="1">
        <f t="array" ref="T44">_xlfn.IFS($G44="__overall__",
SUMIFS(PremRes!$G$8:$G$208,PremRes!$B$8:$B$208,$G44,PremRes!$C$8:$C$208,$H44,PremRes!$F$8:$F$208,$I44,PremRes!$D$8:$D$208,T$12),
TRUE,
SUMIFS(PremRes!$G$8:$G$208,PremRes!$B$8:$B$208,"level_"&amp;$G44,PremRes!$C$8:$C$208,$H44,PremRes!$F$8:$F$208,$I44,PremRes!$D$8:$D$208,T$12))</f>
        <v>0</v>
      </c>
      <c r="U44" s="13" cm="1">
        <f t="array" ref="U44">_xlfn.IFS($G44="__overall__",
SUMIFS(PremRes!$G$8:$G$208,PremRes!$B$8:$B$208,$G44,PremRes!$C$8:$C$208,$H44,PremRes!$F$8:$F$208,$I44,PremRes!$D$8:$D$208,U$12),
TRUE,
SUMIFS(PremRes!$G$8:$G$208,PremRes!$B$8:$B$208,"level_"&amp;$G44,PremRes!$C$8:$C$208,$H44,PremRes!$F$8:$F$208,$I44,PremRes!$D$8:$D$208,U$12))</f>
        <v>0</v>
      </c>
      <c r="V44" s="13" cm="1">
        <f t="array" ref="V44">_xlfn.IFS($G44="__overall__",
SUMIFS(PremRes!$G$8:$G$208,PremRes!$B$8:$B$208,$G44,PremRes!$C$8:$C$208,$H44,PremRes!$F$8:$F$208,$I44,PremRes!$D$8:$D$208,V$12),
TRUE,
SUMIFS(PremRes!$G$8:$G$208,PremRes!$B$8:$B$208,"level_"&amp;$G44,PremRes!$C$8:$C$208,$H44,PremRes!$F$8:$F$208,$I44,PremRes!$D$8:$D$208,V$12))</f>
        <v>0</v>
      </c>
      <c r="X44" s="100">
        <f t="shared" si="5"/>
        <v>0</v>
      </c>
      <c r="Y44" s="100">
        <f t="shared" si="3"/>
        <v>0</v>
      </c>
      <c r="Z44" s="100">
        <f t="shared" si="4"/>
        <v>0</v>
      </c>
    </row>
    <row r="45" spans="6:26">
      <c r="F45" s="4">
        <v>32</v>
      </c>
      <c r="G45" s="4">
        <v>1</v>
      </c>
      <c r="H45" s="4" t="str">
        <v>partnerships</v>
      </c>
      <c r="I45" s="4" t="str">
        <v>company_b</v>
      </c>
      <c r="K45" s="13">
        <v>32</v>
      </c>
      <c r="L45" s="13">
        <v>679467.3</v>
      </c>
      <c r="M45" s="13">
        <v>201761.33670000001</v>
      </c>
      <c r="N45" s="13">
        <v>799670.98199709656</v>
      </c>
      <c r="O45" s="10"/>
      <c r="P45" s="13">
        <f t="shared" si="0"/>
        <v>0</v>
      </c>
      <c r="Q45" s="13">
        <f t="shared" si="6"/>
        <v>0</v>
      </c>
      <c r="R45" s="13">
        <f t="shared" si="2"/>
        <v>0</v>
      </c>
      <c r="S45" s="11"/>
      <c r="T45" s="13" cm="1">
        <f t="array" ref="T45">_xlfn.IFS($G45="__overall__",
SUMIFS(PremRes!$G$8:$G$208,PremRes!$B$8:$B$208,$G45,PremRes!$C$8:$C$208,$H45,PremRes!$F$8:$F$208,$I45,PremRes!$D$8:$D$208,T$12),
TRUE,
SUMIFS(PremRes!$G$8:$G$208,PremRes!$B$8:$B$208,"level_"&amp;$G45,PremRes!$C$8:$C$208,$H45,PremRes!$F$8:$F$208,$I45,PremRes!$D$8:$D$208,T$12))</f>
        <v>0</v>
      </c>
      <c r="U45" s="13" cm="1">
        <f t="array" ref="U45">_xlfn.IFS($G45="__overall__",
SUMIFS(PremRes!$G$8:$G$208,PremRes!$B$8:$B$208,$G45,PremRes!$C$8:$C$208,$H45,PremRes!$F$8:$F$208,$I45,PremRes!$D$8:$D$208,U$12),
TRUE,
SUMIFS(PremRes!$G$8:$G$208,PremRes!$B$8:$B$208,"level_"&amp;$G45,PremRes!$C$8:$C$208,$H45,PremRes!$F$8:$F$208,$I45,PremRes!$D$8:$D$208,U$12))</f>
        <v>0</v>
      </c>
      <c r="V45" s="13" cm="1">
        <f t="array" ref="V45">_xlfn.IFS($G45="__overall__",
SUMIFS(PremRes!$G$8:$G$208,PremRes!$B$8:$B$208,$G45,PremRes!$C$8:$C$208,$H45,PremRes!$F$8:$F$208,$I45,PremRes!$D$8:$D$208,V$12),
TRUE,
SUMIFS(PremRes!$G$8:$G$208,PremRes!$B$8:$B$208,"level_"&amp;$G45,PremRes!$C$8:$C$208,$H45,PremRes!$F$8:$F$208,$I45,PremRes!$D$8:$D$208,V$12))</f>
        <v>0</v>
      </c>
      <c r="X45" s="100">
        <f t="shared" si="5"/>
        <v>0</v>
      </c>
      <c r="Y45" s="100">
        <f t="shared" si="3"/>
        <v>0</v>
      </c>
      <c r="Z45" s="100">
        <f t="shared" si="4"/>
        <v>0</v>
      </c>
    </row>
    <row r="46" spans="6:26">
      <c r="F46" s="4">
        <v>33</v>
      </c>
      <c r="G46" s="4">
        <v>1</v>
      </c>
      <c r="H46" s="4" t="str">
        <v>partnerships</v>
      </c>
      <c r="I46" s="4" t="str">
        <v>company_c</v>
      </c>
      <c r="K46" s="13">
        <v>33</v>
      </c>
      <c r="L46" s="13">
        <v>679467.3</v>
      </c>
      <c r="M46" s="13">
        <v>201761.33670000001</v>
      </c>
      <c r="N46" s="13">
        <v>799670.98199709656</v>
      </c>
      <c r="O46" s="10"/>
      <c r="P46" s="13">
        <f t="shared" si="0"/>
        <v>0</v>
      </c>
      <c r="Q46" s="13">
        <f t="shared" si="6"/>
        <v>0</v>
      </c>
      <c r="R46" s="13">
        <f t="shared" si="2"/>
        <v>0</v>
      </c>
      <c r="S46" s="11"/>
      <c r="T46" s="13" cm="1">
        <f t="array" ref="T46">_xlfn.IFS($G46="__overall__",
SUMIFS(PremRes!$G$8:$G$208,PremRes!$B$8:$B$208,$G46,PremRes!$C$8:$C$208,$H46,PremRes!$F$8:$F$208,$I46,PremRes!$D$8:$D$208,T$12),
TRUE,
SUMIFS(PremRes!$G$8:$G$208,PremRes!$B$8:$B$208,"level_"&amp;$G46,PremRes!$C$8:$C$208,$H46,PremRes!$F$8:$F$208,$I46,PremRes!$D$8:$D$208,T$12))</f>
        <v>0</v>
      </c>
      <c r="U46" s="13" cm="1">
        <f t="array" ref="U46">_xlfn.IFS($G46="__overall__",
SUMIFS(PremRes!$G$8:$G$208,PremRes!$B$8:$B$208,$G46,PremRes!$C$8:$C$208,$H46,PremRes!$F$8:$F$208,$I46,PremRes!$D$8:$D$208,U$12),
TRUE,
SUMIFS(PremRes!$G$8:$G$208,PremRes!$B$8:$B$208,"level_"&amp;$G46,PremRes!$C$8:$C$208,$H46,PremRes!$F$8:$F$208,$I46,PremRes!$D$8:$D$208,U$12))</f>
        <v>0</v>
      </c>
      <c r="V46" s="13" cm="1">
        <f t="array" ref="V46">_xlfn.IFS($G46="__overall__",
SUMIFS(PremRes!$G$8:$G$208,PremRes!$B$8:$B$208,$G46,PremRes!$C$8:$C$208,$H46,PremRes!$F$8:$F$208,$I46,PremRes!$D$8:$D$208,V$12),
TRUE,
SUMIFS(PremRes!$G$8:$G$208,PremRes!$B$8:$B$208,"level_"&amp;$G46,PremRes!$C$8:$C$208,$H46,PremRes!$F$8:$F$208,$I46,PremRes!$D$8:$D$208,V$12))</f>
        <v>0</v>
      </c>
      <c r="X46" s="100">
        <f t="shared" si="5"/>
        <v>0</v>
      </c>
      <c r="Y46" s="100">
        <f t="shared" si="3"/>
        <v>0</v>
      </c>
      <c r="Z46" s="100">
        <f t="shared" si="4"/>
        <v>0</v>
      </c>
    </row>
    <row r="47" spans="6:26">
      <c r="F47" s="4">
        <v>34</v>
      </c>
      <c r="G47" s="4">
        <v>1</v>
      </c>
      <c r="H47" s="4" t="str">
        <v>partnerships</v>
      </c>
      <c r="I47" s="4" t="str">
        <v>company_d</v>
      </c>
      <c r="K47" s="13">
        <v>34</v>
      </c>
      <c r="L47" s="13">
        <v>679467.3</v>
      </c>
      <c r="M47" s="13">
        <v>201761.33670000001</v>
      </c>
      <c r="N47" s="13">
        <v>799670.98199709656</v>
      </c>
      <c r="O47" s="10"/>
      <c r="P47" s="13">
        <f t="shared" si="0"/>
        <v>0</v>
      </c>
      <c r="Q47" s="13">
        <f t="shared" si="6"/>
        <v>0</v>
      </c>
      <c r="R47" s="13">
        <f t="shared" si="2"/>
        <v>0</v>
      </c>
      <c r="S47" s="11"/>
      <c r="T47" s="13" cm="1">
        <f t="array" ref="T47">_xlfn.IFS($G47="__overall__",
SUMIFS(PremRes!$G$8:$G$208,PremRes!$B$8:$B$208,$G47,PremRes!$C$8:$C$208,$H47,PremRes!$F$8:$F$208,$I47,PremRes!$D$8:$D$208,T$12),
TRUE,
SUMIFS(PremRes!$G$8:$G$208,PremRes!$B$8:$B$208,"level_"&amp;$G47,PremRes!$C$8:$C$208,$H47,PremRes!$F$8:$F$208,$I47,PremRes!$D$8:$D$208,T$12))</f>
        <v>0</v>
      </c>
      <c r="U47" s="13" cm="1">
        <f t="array" ref="U47">_xlfn.IFS($G47="__overall__",
SUMIFS(PremRes!$G$8:$G$208,PremRes!$B$8:$B$208,$G47,PremRes!$C$8:$C$208,$H47,PremRes!$F$8:$F$208,$I47,PremRes!$D$8:$D$208,U$12),
TRUE,
SUMIFS(PremRes!$G$8:$G$208,PremRes!$B$8:$B$208,"level_"&amp;$G47,PremRes!$C$8:$C$208,$H47,PremRes!$F$8:$F$208,$I47,PremRes!$D$8:$D$208,U$12))</f>
        <v>0</v>
      </c>
      <c r="V47" s="13" cm="1">
        <f t="array" ref="V47">_xlfn.IFS($G47="__overall__",
SUMIFS(PremRes!$G$8:$G$208,PremRes!$B$8:$B$208,$G47,PremRes!$C$8:$C$208,$H47,PremRes!$F$8:$F$208,$I47,PremRes!$D$8:$D$208,V$12),
TRUE,
SUMIFS(PremRes!$G$8:$G$208,PremRes!$B$8:$B$208,"level_"&amp;$G47,PremRes!$C$8:$C$208,$H47,PremRes!$F$8:$F$208,$I47,PremRes!$D$8:$D$208,V$12))</f>
        <v>0</v>
      </c>
      <c r="X47" s="100">
        <f t="shared" si="5"/>
        <v>0</v>
      </c>
      <c r="Y47" s="100">
        <f t="shared" si="3"/>
        <v>0</v>
      </c>
      <c r="Z47" s="100">
        <f t="shared" si="4"/>
        <v>0</v>
      </c>
    </row>
    <row r="48" spans="6:26">
      <c r="F48" s="4">
        <v>35</v>
      </c>
      <c r="G48" s="4">
        <v>1</v>
      </c>
      <c r="H48" s="4" t="str">
        <v>partnerships</v>
      </c>
      <c r="I48" s="4" t="str">
        <v>company_e</v>
      </c>
      <c r="K48" s="13">
        <v>35</v>
      </c>
      <c r="L48" s="13">
        <v>679467.3</v>
      </c>
      <c r="M48" s="13">
        <v>201761.33670000001</v>
      </c>
      <c r="N48" s="13">
        <v>799670.98199709656</v>
      </c>
      <c r="O48" s="10"/>
      <c r="P48" s="13">
        <f t="shared" si="0"/>
        <v>0</v>
      </c>
      <c r="Q48" s="13">
        <f t="shared" si="6"/>
        <v>0</v>
      </c>
      <c r="R48" s="13">
        <f t="shared" si="2"/>
        <v>0</v>
      </c>
      <c r="S48" s="11"/>
      <c r="T48" s="13" cm="1">
        <f t="array" ref="T48">_xlfn.IFS($G48="__overall__",
SUMIFS(PremRes!$G$8:$G$208,PremRes!$B$8:$B$208,$G48,PremRes!$C$8:$C$208,$H48,PremRes!$F$8:$F$208,$I48,PremRes!$D$8:$D$208,T$12),
TRUE,
SUMIFS(PremRes!$G$8:$G$208,PremRes!$B$8:$B$208,"level_"&amp;$G48,PremRes!$C$8:$C$208,$H48,PremRes!$F$8:$F$208,$I48,PremRes!$D$8:$D$208,T$12))</f>
        <v>0</v>
      </c>
      <c r="U48" s="13" cm="1">
        <f t="array" ref="U48">_xlfn.IFS($G48="__overall__",
SUMIFS(PremRes!$G$8:$G$208,PremRes!$B$8:$B$208,$G48,PremRes!$C$8:$C$208,$H48,PremRes!$F$8:$F$208,$I48,PremRes!$D$8:$D$208,U$12),
TRUE,
SUMIFS(PremRes!$G$8:$G$208,PremRes!$B$8:$B$208,"level_"&amp;$G48,PremRes!$C$8:$C$208,$H48,PremRes!$F$8:$F$208,$I48,PremRes!$D$8:$D$208,U$12))</f>
        <v>0</v>
      </c>
      <c r="V48" s="13" cm="1">
        <f t="array" ref="V48">_xlfn.IFS($G48="__overall__",
SUMIFS(PremRes!$G$8:$G$208,PremRes!$B$8:$B$208,$G48,PremRes!$C$8:$C$208,$H48,PremRes!$F$8:$F$208,$I48,PremRes!$D$8:$D$208,V$12),
TRUE,
SUMIFS(PremRes!$G$8:$G$208,PremRes!$B$8:$B$208,"level_"&amp;$G48,PremRes!$C$8:$C$208,$H48,PremRes!$F$8:$F$208,$I48,PremRes!$D$8:$D$208,V$12))</f>
        <v>0</v>
      </c>
      <c r="X48" s="100">
        <f t="shared" si="5"/>
        <v>0</v>
      </c>
      <c r="Y48" s="100">
        <f t="shared" si="3"/>
        <v>0</v>
      </c>
      <c r="Z48" s="100">
        <f t="shared" si="4"/>
        <v>0</v>
      </c>
    </row>
    <row r="49" spans="6:26">
      <c r="F49" s="4">
        <v>36</v>
      </c>
      <c r="G49" s="4">
        <v>1</v>
      </c>
      <c r="H49" s="4" t="str">
        <v>partnerships</v>
      </c>
      <c r="I49" s="4" t="str">
        <v>company_g</v>
      </c>
      <c r="K49" s="13">
        <v>36</v>
      </c>
      <c r="L49" s="13">
        <v>679467.3</v>
      </c>
      <c r="M49" s="13">
        <v>201761.33670000001</v>
      </c>
      <c r="N49" s="13">
        <v>799670.98199709656</v>
      </c>
      <c r="O49" s="10"/>
      <c r="P49" s="13">
        <f t="shared" si="0"/>
        <v>0</v>
      </c>
      <c r="Q49" s="13">
        <f t="shared" si="6"/>
        <v>0</v>
      </c>
      <c r="R49" s="13">
        <f t="shared" si="2"/>
        <v>0</v>
      </c>
      <c r="S49" s="11"/>
      <c r="T49" s="13" cm="1">
        <f t="array" ref="T49">_xlfn.IFS($G49="__overall__",
SUMIFS(PremRes!$G$8:$G$208,PremRes!$B$8:$B$208,$G49,PremRes!$C$8:$C$208,$H49,PremRes!$F$8:$F$208,$I49,PremRes!$D$8:$D$208,T$12),
TRUE,
SUMIFS(PremRes!$G$8:$G$208,PremRes!$B$8:$B$208,"level_"&amp;$G49,PremRes!$C$8:$C$208,$H49,PremRes!$F$8:$F$208,$I49,PremRes!$D$8:$D$208,T$12))</f>
        <v>0</v>
      </c>
      <c r="U49" s="13" cm="1">
        <f t="array" ref="U49">_xlfn.IFS($G49="__overall__",
SUMIFS(PremRes!$G$8:$G$208,PremRes!$B$8:$B$208,$G49,PremRes!$C$8:$C$208,$H49,PremRes!$F$8:$F$208,$I49,PremRes!$D$8:$D$208,U$12),
TRUE,
SUMIFS(PremRes!$G$8:$G$208,PremRes!$B$8:$B$208,"level_"&amp;$G49,PremRes!$C$8:$C$208,$H49,PremRes!$F$8:$F$208,$I49,PremRes!$D$8:$D$208,U$12))</f>
        <v>0</v>
      </c>
      <c r="V49" s="13" cm="1">
        <f t="array" ref="V49">_xlfn.IFS($G49="__overall__",
SUMIFS(PremRes!$G$8:$G$208,PremRes!$B$8:$B$208,$G49,PremRes!$C$8:$C$208,$H49,PremRes!$F$8:$F$208,$I49,PremRes!$D$8:$D$208,V$12),
TRUE,
SUMIFS(PremRes!$G$8:$G$208,PremRes!$B$8:$B$208,"level_"&amp;$G49,PremRes!$C$8:$C$208,$H49,PremRes!$F$8:$F$208,$I49,PremRes!$D$8:$D$208,V$12))</f>
        <v>0</v>
      </c>
      <c r="X49" s="100">
        <f t="shared" si="5"/>
        <v>0</v>
      </c>
      <c r="Y49" s="100">
        <f t="shared" si="3"/>
        <v>0</v>
      </c>
      <c r="Z49" s="100">
        <f t="shared" si="4"/>
        <v>0</v>
      </c>
    </row>
    <row r="50" spans="6:26">
      <c r="F50" s="4">
        <v>37</v>
      </c>
      <c r="G50" s="4">
        <v>2</v>
      </c>
      <c r="H50" s="4" t="str">
        <v>gauteng</v>
      </c>
      <c r="I50" s="4" t="str">
        <v>gross charge</v>
      </c>
      <c r="K50" s="13">
        <v>37</v>
      </c>
      <c r="L50" s="13">
        <v>1869531.2586117061</v>
      </c>
      <c r="M50" s="13">
        <v>578086.5970245793</v>
      </c>
      <c r="N50" s="13">
        <v>2213874.1126166619</v>
      </c>
      <c r="O50" s="10"/>
      <c r="P50" s="13">
        <f t="shared" si="0"/>
        <v>1869531.2586117061</v>
      </c>
      <c r="Q50" s="13">
        <f t="shared" si="6"/>
        <v>578086.5970245793</v>
      </c>
      <c r="R50" s="13">
        <f t="shared" si="2"/>
        <v>2213874.1126166619</v>
      </c>
      <c r="S50" s="11"/>
      <c r="T50" s="13" cm="1">
        <f t="array" ref="T50">_xlfn.IFS($G50="__overall__",
SUMIFS(PremRes!$G$8:$G$208,PremRes!$B$8:$B$208,$G50,PremRes!$C$8:$C$208,$H50,PremRes!$F$8:$F$208,$I50,PremRes!$D$8:$D$208,T$12),
TRUE,
SUMIFS(PremRes!$G$8:$G$208,PremRes!$B$8:$B$208,"level_"&amp;$G50,PremRes!$C$8:$C$208,$H50,PremRes!$F$8:$F$208,$I50,PremRes!$D$8:$D$208,T$12))</f>
        <v>1869531.2586117061</v>
      </c>
      <c r="U50" s="13" cm="1">
        <f t="array" ref="U50">_xlfn.IFS($G50="__overall__",
SUMIFS(PremRes!$G$8:$G$208,PremRes!$B$8:$B$208,$G50,PremRes!$C$8:$C$208,$H50,PremRes!$F$8:$F$208,$I50,PremRes!$D$8:$D$208,U$12),
TRUE,
SUMIFS(PremRes!$G$8:$G$208,PremRes!$B$8:$B$208,"level_"&amp;$G50,PremRes!$C$8:$C$208,$H50,PremRes!$F$8:$F$208,$I50,PremRes!$D$8:$D$208,U$12))</f>
        <v>578086.5970245793</v>
      </c>
      <c r="V50" s="13" cm="1">
        <f t="array" ref="V50">_xlfn.IFS($G50="__overall__",
SUMIFS(PremRes!$G$8:$G$208,PremRes!$B$8:$B$208,$G50,PremRes!$C$8:$C$208,$H50,PremRes!$F$8:$F$208,$I50,PremRes!$D$8:$D$208,V$12),
TRUE,
SUMIFS(PremRes!$G$8:$G$208,PremRes!$B$8:$B$208,"level_"&amp;$G50,PremRes!$C$8:$C$208,$H50,PremRes!$F$8:$F$208,$I50,PremRes!$D$8:$D$208,V$12))</f>
        <v>2213874.1126166619</v>
      </c>
      <c r="X50" s="100">
        <f t="shared" si="5"/>
        <v>0</v>
      </c>
      <c r="Y50" s="100">
        <f t="shared" si="3"/>
        <v>0</v>
      </c>
      <c r="Z50" s="100">
        <f t="shared" si="4"/>
        <v>0</v>
      </c>
    </row>
    <row r="51" spans="6:26">
      <c r="F51" s="4">
        <v>38</v>
      </c>
      <c r="G51" s="4">
        <v>2</v>
      </c>
      <c r="H51" s="4" t="str">
        <v>gauteng</v>
      </c>
      <c r="I51" s="4" t="str">
        <v>net charge</v>
      </c>
      <c r="K51" s="13">
        <v>38</v>
      </c>
      <c r="L51" s="13">
        <v>934468.67649737909</v>
      </c>
      <c r="M51" s="13">
        <v>289043.29851228965</v>
      </c>
      <c r="N51" s="13">
        <v>1106642.14120881</v>
      </c>
      <c r="O51" s="10"/>
      <c r="P51" s="13">
        <f t="shared" si="0"/>
        <v>934468.67649737909</v>
      </c>
      <c r="Q51" s="13">
        <f t="shared" si="6"/>
        <v>289043.29851228965</v>
      </c>
      <c r="R51" s="13">
        <f t="shared" si="2"/>
        <v>1106642.14120881</v>
      </c>
      <c r="S51" s="11"/>
      <c r="T51" s="13" cm="1">
        <f t="array" ref="T51">_xlfn.IFS($G51="__overall__",
SUMIFS(PremRes!$G$8:$G$208,PremRes!$B$8:$B$208,$G51,PremRes!$C$8:$C$208,$H51,PremRes!$F$8:$F$208,$I51,PremRes!$D$8:$D$208,T$12),
TRUE,
SUMIFS(PremRes!$G$8:$G$208,PremRes!$B$8:$B$208,"level_"&amp;$G51,PremRes!$C$8:$C$208,$H51,PremRes!$F$8:$F$208,$I51,PremRes!$D$8:$D$208,T$12))</f>
        <v>934468.6764973792</v>
      </c>
      <c r="U51" s="13" cm="1">
        <f t="array" ref="U51">_xlfn.IFS($G51="__overall__",
SUMIFS(PremRes!$G$8:$G$208,PremRes!$B$8:$B$208,$G51,PremRes!$C$8:$C$208,$H51,PremRes!$F$8:$F$208,$I51,PremRes!$D$8:$D$208,U$12),
TRUE,
SUMIFS(PremRes!$G$8:$G$208,PremRes!$B$8:$B$208,"level_"&amp;$G51,PremRes!$C$8:$C$208,$H51,PremRes!$F$8:$F$208,$I51,PremRes!$D$8:$D$208,U$12))</f>
        <v>289043.29851228965</v>
      </c>
      <c r="V51" s="13" cm="1">
        <f t="array" ref="V51">_xlfn.IFS($G51="__overall__",
SUMIFS(PremRes!$G$8:$G$208,PremRes!$B$8:$B$208,$G51,PremRes!$C$8:$C$208,$H51,PremRes!$F$8:$F$208,$I51,PremRes!$D$8:$D$208,V$12),
TRUE,
SUMIFS(PremRes!$G$8:$G$208,PremRes!$B$8:$B$208,"level_"&amp;$G51,PremRes!$C$8:$C$208,$H51,PremRes!$F$8:$F$208,$I51,PremRes!$D$8:$D$208,V$12))</f>
        <v>1106642.1412088098</v>
      </c>
      <c r="X51" s="100">
        <f t="shared" si="5"/>
        <v>0</v>
      </c>
      <c r="Y51" s="100">
        <f t="shared" si="3"/>
        <v>0</v>
      </c>
      <c r="Z51" s="100">
        <f t="shared" si="4"/>
        <v>0</v>
      </c>
    </row>
    <row r="52" spans="6:26">
      <c r="F52" s="4">
        <v>39</v>
      </c>
      <c r="G52" s="4">
        <v>2</v>
      </c>
      <c r="H52" s="4" t="str">
        <v>gauteng</v>
      </c>
      <c r="I52" s="4" t="str">
        <v>calculated net charge</v>
      </c>
      <c r="K52" s="13">
        <v>39</v>
      </c>
      <c r="L52" s="13">
        <v>1028242.1922364383</v>
      </c>
      <c r="M52" s="13">
        <v>317947.62836351868</v>
      </c>
      <c r="N52" s="13">
        <v>1217630.761939164</v>
      </c>
      <c r="O52" s="10"/>
      <c r="P52" s="13">
        <f t="shared" si="0"/>
        <v>1028242.1922364383</v>
      </c>
      <c r="Q52" s="13">
        <f t="shared" si="6"/>
        <v>317947.62836351868</v>
      </c>
      <c r="R52" s="13">
        <f t="shared" si="2"/>
        <v>1217630.761939164</v>
      </c>
      <c r="S52" s="11"/>
      <c r="T52" s="13" cm="1">
        <f t="array" ref="T52">_xlfn.IFS($G52="__overall__",
SUMIFS(PremRes!$G$8:$G$208,PremRes!$B$8:$B$208,$G52,PremRes!$C$8:$C$208,$H52,PremRes!$F$8:$F$208,$I52,PremRes!$D$8:$D$208,T$12),
TRUE,
SUMIFS(PremRes!$G$8:$G$208,PremRes!$B$8:$B$208,"level_"&amp;$G52,PremRes!$C$8:$C$208,$H52,PremRes!$F$8:$F$208,$I52,PremRes!$D$8:$D$208,T$12))</f>
        <v>1028242.1922364383</v>
      </c>
      <c r="U52" s="13" cm="1">
        <f t="array" ref="U52">_xlfn.IFS($G52="__overall__",
SUMIFS(PremRes!$G$8:$G$208,PremRes!$B$8:$B$208,$G52,PremRes!$C$8:$C$208,$H52,PremRes!$F$8:$F$208,$I52,PremRes!$D$8:$D$208,U$12),
TRUE,
SUMIFS(PremRes!$G$8:$G$208,PremRes!$B$8:$B$208,"level_"&amp;$G52,PremRes!$C$8:$C$208,$H52,PremRes!$F$8:$F$208,$I52,PremRes!$D$8:$D$208,U$12))</f>
        <v>317947.62836351863</v>
      </c>
      <c r="V52" s="13" cm="1">
        <f t="array" ref="V52">_xlfn.IFS($G52="__overall__",
SUMIFS(PremRes!$G$8:$G$208,PremRes!$B$8:$B$208,$G52,PremRes!$C$8:$C$208,$H52,PremRes!$F$8:$F$208,$I52,PremRes!$D$8:$D$208,V$12),
TRUE,
SUMIFS(PremRes!$G$8:$G$208,PremRes!$B$8:$B$208,"level_"&amp;$G52,PremRes!$C$8:$C$208,$H52,PremRes!$F$8:$F$208,$I52,PremRes!$D$8:$D$208,V$12))</f>
        <v>1217630.761939164</v>
      </c>
      <c r="X52" s="100">
        <f t="shared" si="5"/>
        <v>0</v>
      </c>
      <c r="Y52" s="100">
        <f t="shared" si="3"/>
        <v>0</v>
      </c>
      <c r="Z52" s="100">
        <f t="shared" si="4"/>
        <v>0</v>
      </c>
    </row>
    <row r="53" spans="6:26">
      <c r="F53" s="4">
        <v>40</v>
      </c>
      <c r="G53" s="4">
        <v>2</v>
      </c>
      <c r="H53" s="4" t="str">
        <v>gauteng</v>
      </c>
      <c r="I53" s="4" t="str">
        <v>company_a</v>
      </c>
      <c r="K53" s="13">
        <v>40</v>
      </c>
      <c r="L53" s="13">
        <v>1495625.0068893649</v>
      </c>
      <c r="M53" s="13">
        <v>462469.27761966357</v>
      </c>
      <c r="N53" s="13">
        <v>1771099.2900933295</v>
      </c>
      <c r="O53" s="10"/>
      <c r="P53" s="13">
        <f t="shared" si="0"/>
        <v>467382.81465292664</v>
      </c>
      <c r="Q53" s="13">
        <f t="shared" si="6"/>
        <v>144521.64925614488</v>
      </c>
      <c r="R53" s="13">
        <f t="shared" si="2"/>
        <v>553468.52815416548</v>
      </c>
      <c r="S53" s="11"/>
      <c r="T53" s="13" cm="1">
        <f t="array" ref="T53">_xlfn.IFS($G53="__overall__",
SUMIFS(PremRes!$G$8:$G$208,PremRes!$B$8:$B$208,$G53,PremRes!$C$8:$C$208,$H53,PremRes!$F$8:$F$208,$I53,PremRes!$D$8:$D$208,T$12),
TRUE,
SUMIFS(PremRes!$G$8:$G$208,PremRes!$B$8:$B$208,"level_"&amp;$G53,PremRes!$C$8:$C$208,$H53,PremRes!$F$8:$F$208,$I53,PremRes!$D$8:$D$208,T$12))</f>
        <v>467382.81465292687</v>
      </c>
      <c r="U53" s="13" cm="1">
        <f t="array" ref="U53">_xlfn.IFS($G53="__overall__",
SUMIFS(PremRes!$G$8:$G$208,PremRes!$B$8:$B$208,$G53,PremRes!$C$8:$C$208,$H53,PremRes!$F$8:$F$208,$I53,PremRes!$D$8:$D$208,U$12),
TRUE,
SUMIFS(PremRes!$G$8:$G$208,PremRes!$B$8:$B$208,"level_"&amp;$G53,PremRes!$C$8:$C$208,$H53,PremRes!$F$8:$F$208,$I53,PremRes!$D$8:$D$208,U$12))</f>
        <v>144521.64925614488</v>
      </c>
      <c r="V53" s="13" cm="1">
        <f t="array" ref="V53">_xlfn.IFS($G53="__overall__",
SUMIFS(PremRes!$G$8:$G$208,PremRes!$B$8:$B$208,$G53,PremRes!$C$8:$C$208,$H53,PremRes!$F$8:$F$208,$I53,PremRes!$D$8:$D$208,V$12),
TRUE,
SUMIFS(PremRes!$G$8:$G$208,PremRes!$B$8:$B$208,"level_"&amp;$G53,PremRes!$C$8:$C$208,$H53,PremRes!$F$8:$F$208,$I53,PremRes!$D$8:$D$208,V$12))</f>
        <v>553468.52815416548</v>
      </c>
      <c r="X53" s="100">
        <f t="shared" si="5"/>
        <v>0</v>
      </c>
      <c r="Y53" s="100">
        <f t="shared" si="3"/>
        <v>0</v>
      </c>
      <c r="Z53" s="100">
        <f t="shared" si="4"/>
        <v>0</v>
      </c>
    </row>
    <row r="54" spans="6:26">
      <c r="F54" s="4">
        <v>41</v>
      </c>
      <c r="G54" s="4">
        <v>2</v>
      </c>
      <c r="H54" s="4" t="str">
        <v>gauteng</v>
      </c>
      <c r="I54" s="4" t="str">
        <v>company_b</v>
      </c>
      <c r="K54" s="13">
        <v>41</v>
      </c>
      <c r="L54" s="13">
        <v>1402148.4439587796</v>
      </c>
      <c r="M54" s="13">
        <v>433564.94776843447</v>
      </c>
      <c r="N54" s="13">
        <v>1660405.5844624965</v>
      </c>
      <c r="O54" s="10"/>
      <c r="P54" s="13">
        <f t="shared" si="0"/>
        <v>373906.25172234129</v>
      </c>
      <c r="Q54" s="13">
        <f t="shared" si="6"/>
        <v>115617.31940491579</v>
      </c>
      <c r="R54" s="13">
        <f t="shared" si="2"/>
        <v>442774.82252333243</v>
      </c>
      <c r="S54" s="11"/>
      <c r="T54" s="13" cm="1">
        <f t="array" ref="T54">_xlfn.IFS($G54="__overall__",
SUMIFS(PremRes!$G$8:$G$208,PremRes!$B$8:$B$208,$G54,PremRes!$C$8:$C$208,$H54,PremRes!$F$8:$F$208,$I54,PremRes!$D$8:$D$208,T$12),
TRUE,
SUMIFS(PremRes!$G$8:$G$208,PremRes!$B$8:$B$208,"level_"&amp;$G54,PremRes!$C$8:$C$208,$H54,PremRes!$F$8:$F$208,$I54,PremRes!$D$8:$D$208,T$12))</f>
        <v>373906.25172234129</v>
      </c>
      <c r="U54" s="13" cm="1">
        <f t="array" ref="U54">_xlfn.IFS($G54="__overall__",
SUMIFS(PremRes!$G$8:$G$208,PremRes!$B$8:$B$208,$G54,PremRes!$C$8:$C$208,$H54,PremRes!$F$8:$F$208,$I54,PremRes!$D$8:$D$208,U$12),
TRUE,
SUMIFS(PremRes!$G$8:$G$208,PremRes!$B$8:$B$208,"level_"&amp;$G54,PremRes!$C$8:$C$208,$H54,PremRes!$F$8:$F$208,$I54,PremRes!$D$8:$D$208,U$12))</f>
        <v>115617.31940491585</v>
      </c>
      <c r="V54" s="13" cm="1">
        <f t="array" ref="V54">_xlfn.IFS($G54="__overall__",
SUMIFS(PremRes!$G$8:$G$208,PremRes!$B$8:$B$208,$G54,PremRes!$C$8:$C$208,$H54,PremRes!$F$8:$F$208,$I54,PremRes!$D$8:$D$208,V$12),
TRUE,
SUMIFS(PremRes!$G$8:$G$208,PremRes!$B$8:$B$208,"level_"&amp;$G54,PremRes!$C$8:$C$208,$H54,PremRes!$F$8:$F$208,$I54,PremRes!$D$8:$D$208,V$12))</f>
        <v>442774.82252333243</v>
      </c>
      <c r="X54" s="100">
        <f t="shared" si="5"/>
        <v>0</v>
      </c>
      <c r="Y54" s="100">
        <f t="shared" si="3"/>
        <v>0</v>
      </c>
      <c r="Z54" s="100">
        <f t="shared" si="4"/>
        <v>0</v>
      </c>
    </row>
    <row r="55" spans="6:26">
      <c r="F55" s="4">
        <v>42</v>
      </c>
      <c r="G55" s="4">
        <v>2</v>
      </c>
      <c r="H55" s="4" t="str">
        <v>gauteng</v>
      </c>
      <c r="I55" s="4" t="str">
        <v>company_c</v>
      </c>
      <c r="K55" s="13">
        <v>42</v>
      </c>
      <c r="L55" s="13">
        <v>1028242.1922364383</v>
      </c>
      <c r="M55" s="13">
        <v>317947.62836351868</v>
      </c>
      <c r="N55" s="13">
        <v>1217630.761939164</v>
      </c>
      <c r="O55" s="10"/>
      <c r="P55" s="13">
        <f t="shared" si="0"/>
        <v>0</v>
      </c>
      <c r="Q55" s="13">
        <f t="shared" si="6"/>
        <v>0</v>
      </c>
      <c r="R55" s="13">
        <f t="shared" si="2"/>
        <v>0</v>
      </c>
      <c r="S55" s="11"/>
      <c r="T55" s="13" cm="1">
        <f t="array" ref="T55">_xlfn.IFS($G55="__overall__",
SUMIFS(PremRes!$G$8:$G$208,PremRes!$B$8:$B$208,$G55,PremRes!$C$8:$C$208,$H55,PremRes!$F$8:$F$208,$I55,PremRes!$D$8:$D$208,T$12),
TRUE,
SUMIFS(PremRes!$G$8:$G$208,PremRes!$B$8:$B$208,"level_"&amp;$G55,PremRes!$C$8:$C$208,$H55,PremRes!$F$8:$F$208,$I55,PremRes!$D$8:$D$208,T$12))</f>
        <v>0</v>
      </c>
      <c r="U55" s="13" cm="1">
        <f t="array" ref="U55">_xlfn.IFS($G55="__overall__",
SUMIFS(PremRes!$G$8:$G$208,PremRes!$B$8:$B$208,$G55,PremRes!$C$8:$C$208,$H55,PremRes!$F$8:$F$208,$I55,PremRes!$D$8:$D$208,U$12),
TRUE,
SUMIFS(PremRes!$G$8:$G$208,PremRes!$B$8:$B$208,"level_"&amp;$G55,PremRes!$C$8:$C$208,$H55,PremRes!$F$8:$F$208,$I55,PremRes!$D$8:$D$208,U$12))</f>
        <v>0</v>
      </c>
      <c r="V55" s="13" cm="1">
        <f t="array" ref="V55">_xlfn.IFS($G55="__overall__",
SUMIFS(PremRes!$G$8:$G$208,PremRes!$B$8:$B$208,$G55,PremRes!$C$8:$C$208,$H55,PremRes!$F$8:$F$208,$I55,PremRes!$D$8:$D$208,V$12),
TRUE,
SUMIFS(PremRes!$G$8:$G$208,PremRes!$B$8:$B$208,"level_"&amp;$G55,PremRes!$C$8:$C$208,$H55,PremRes!$F$8:$F$208,$I55,PremRes!$D$8:$D$208,V$12))</f>
        <v>0</v>
      </c>
      <c r="X55" s="100">
        <f t="shared" si="5"/>
        <v>0</v>
      </c>
      <c r="Y55" s="100">
        <f t="shared" si="3"/>
        <v>0</v>
      </c>
      <c r="Z55" s="100">
        <f t="shared" si="4"/>
        <v>0</v>
      </c>
    </row>
    <row r="56" spans="6:26">
      <c r="F56" s="4">
        <v>43</v>
      </c>
      <c r="G56" s="4">
        <v>2</v>
      </c>
      <c r="H56" s="4" t="str">
        <v>gauteng</v>
      </c>
      <c r="I56" s="4" t="str">
        <v>company_d</v>
      </c>
      <c r="K56" s="13">
        <v>43</v>
      </c>
      <c r="L56" s="13">
        <v>1028242.1922364383</v>
      </c>
      <c r="M56" s="13">
        <v>317947.62836351868</v>
      </c>
      <c r="N56" s="13">
        <v>1217630.761939164</v>
      </c>
      <c r="O56" s="10"/>
      <c r="P56" s="13">
        <f t="shared" si="0"/>
        <v>0</v>
      </c>
      <c r="Q56" s="13">
        <f t="shared" si="6"/>
        <v>0</v>
      </c>
      <c r="R56" s="13">
        <f t="shared" si="2"/>
        <v>0</v>
      </c>
      <c r="S56" s="11"/>
      <c r="T56" s="13" cm="1">
        <f t="array" ref="T56">_xlfn.IFS($G56="__overall__",
SUMIFS(PremRes!$G$8:$G$208,PremRes!$B$8:$B$208,$G56,PremRes!$C$8:$C$208,$H56,PremRes!$F$8:$F$208,$I56,PremRes!$D$8:$D$208,T$12),
TRUE,
SUMIFS(PremRes!$G$8:$G$208,PremRes!$B$8:$B$208,"level_"&amp;$G56,PremRes!$C$8:$C$208,$H56,PremRes!$F$8:$F$208,$I56,PremRes!$D$8:$D$208,T$12))</f>
        <v>0</v>
      </c>
      <c r="U56" s="13" cm="1">
        <f t="array" ref="U56">_xlfn.IFS($G56="__overall__",
SUMIFS(PremRes!$G$8:$G$208,PremRes!$B$8:$B$208,$G56,PremRes!$C$8:$C$208,$H56,PremRes!$F$8:$F$208,$I56,PremRes!$D$8:$D$208,U$12),
TRUE,
SUMIFS(PremRes!$G$8:$G$208,PremRes!$B$8:$B$208,"level_"&amp;$G56,PremRes!$C$8:$C$208,$H56,PremRes!$F$8:$F$208,$I56,PremRes!$D$8:$D$208,U$12))</f>
        <v>0</v>
      </c>
      <c r="V56" s="13" cm="1">
        <f t="array" ref="V56">_xlfn.IFS($G56="__overall__",
SUMIFS(PremRes!$G$8:$G$208,PremRes!$B$8:$B$208,$G56,PremRes!$C$8:$C$208,$H56,PremRes!$F$8:$F$208,$I56,PremRes!$D$8:$D$208,V$12),
TRUE,
SUMIFS(PremRes!$G$8:$G$208,PremRes!$B$8:$B$208,"level_"&amp;$G56,PremRes!$C$8:$C$208,$H56,PremRes!$F$8:$F$208,$I56,PremRes!$D$8:$D$208,V$12))</f>
        <v>0</v>
      </c>
      <c r="X56" s="100">
        <f t="shared" si="5"/>
        <v>0</v>
      </c>
      <c r="Y56" s="100">
        <f t="shared" si="3"/>
        <v>0</v>
      </c>
      <c r="Z56" s="100">
        <f t="shared" si="4"/>
        <v>0</v>
      </c>
    </row>
    <row r="57" spans="6:26">
      <c r="F57" s="4">
        <v>44</v>
      </c>
      <c r="G57" s="4">
        <v>2</v>
      </c>
      <c r="H57" s="4" t="str">
        <v>gauteng</v>
      </c>
      <c r="I57" s="4" t="str">
        <v>company_e</v>
      </c>
      <c r="K57" s="13">
        <v>44</v>
      </c>
      <c r="L57" s="13">
        <v>1028242.1922364383</v>
      </c>
      <c r="M57" s="13">
        <v>317947.62836351868</v>
      </c>
      <c r="N57" s="13">
        <v>1217630.761939164</v>
      </c>
      <c r="O57" s="10"/>
      <c r="P57" s="13">
        <f t="shared" si="0"/>
        <v>0</v>
      </c>
      <c r="Q57" s="13">
        <f t="shared" si="6"/>
        <v>0</v>
      </c>
      <c r="R57" s="13">
        <f t="shared" si="2"/>
        <v>0</v>
      </c>
      <c r="S57" s="11"/>
      <c r="T57" s="13" cm="1">
        <f t="array" ref="T57">_xlfn.IFS($G57="__overall__",
SUMIFS(PremRes!$G$8:$G$208,PremRes!$B$8:$B$208,$G57,PremRes!$C$8:$C$208,$H57,PremRes!$F$8:$F$208,$I57,PremRes!$D$8:$D$208,T$12),
TRUE,
SUMIFS(PremRes!$G$8:$G$208,PremRes!$B$8:$B$208,"level_"&amp;$G57,PremRes!$C$8:$C$208,$H57,PremRes!$F$8:$F$208,$I57,PremRes!$D$8:$D$208,T$12))</f>
        <v>0</v>
      </c>
      <c r="U57" s="13" cm="1">
        <f t="array" ref="U57">_xlfn.IFS($G57="__overall__",
SUMIFS(PremRes!$G$8:$G$208,PremRes!$B$8:$B$208,$G57,PremRes!$C$8:$C$208,$H57,PremRes!$F$8:$F$208,$I57,PremRes!$D$8:$D$208,U$12),
TRUE,
SUMIFS(PremRes!$G$8:$G$208,PremRes!$B$8:$B$208,"level_"&amp;$G57,PremRes!$C$8:$C$208,$H57,PremRes!$F$8:$F$208,$I57,PremRes!$D$8:$D$208,U$12))</f>
        <v>0</v>
      </c>
      <c r="V57" s="13" cm="1">
        <f t="array" ref="V57">_xlfn.IFS($G57="__overall__",
SUMIFS(PremRes!$G$8:$G$208,PremRes!$B$8:$B$208,$G57,PremRes!$C$8:$C$208,$H57,PremRes!$F$8:$F$208,$I57,PremRes!$D$8:$D$208,V$12),
TRUE,
SUMIFS(PremRes!$G$8:$G$208,PremRes!$B$8:$B$208,"level_"&amp;$G57,PremRes!$C$8:$C$208,$H57,PremRes!$F$8:$F$208,$I57,PremRes!$D$8:$D$208,V$12))</f>
        <v>0</v>
      </c>
      <c r="X57" s="100">
        <f t="shared" si="5"/>
        <v>0</v>
      </c>
      <c r="Y57" s="100">
        <f t="shared" si="3"/>
        <v>0</v>
      </c>
      <c r="Z57" s="100">
        <f t="shared" si="4"/>
        <v>0</v>
      </c>
    </row>
    <row r="58" spans="6:26">
      <c r="F58" s="4">
        <v>45</v>
      </c>
      <c r="G58" s="4">
        <v>2</v>
      </c>
      <c r="H58" s="4" t="str">
        <v>gauteng</v>
      </c>
      <c r="I58" s="4" t="str">
        <v>company_g</v>
      </c>
      <c r="K58" s="13">
        <v>45</v>
      </c>
      <c r="L58" s="13">
        <v>1028242.1922364383</v>
      </c>
      <c r="M58" s="13">
        <v>317947.62836351868</v>
      </c>
      <c r="N58" s="13">
        <v>1217630.761939164</v>
      </c>
      <c r="O58" s="10"/>
      <c r="P58" s="13">
        <f t="shared" si="0"/>
        <v>0</v>
      </c>
      <c r="Q58" s="13">
        <f t="shared" si="6"/>
        <v>0</v>
      </c>
      <c r="R58" s="13">
        <f t="shared" si="2"/>
        <v>0</v>
      </c>
      <c r="S58" s="11"/>
      <c r="T58" s="13" cm="1">
        <f t="array" ref="T58">_xlfn.IFS($G58="__overall__",
SUMIFS(PremRes!$G$8:$G$208,PremRes!$B$8:$B$208,$G58,PremRes!$C$8:$C$208,$H58,PremRes!$F$8:$F$208,$I58,PremRes!$D$8:$D$208,T$12),
TRUE,
SUMIFS(PremRes!$G$8:$G$208,PremRes!$B$8:$B$208,"level_"&amp;$G58,PremRes!$C$8:$C$208,$H58,PremRes!$F$8:$F$208,$I58,PremRes!$D$8:$D$208,T$12))</f>
        <v>0</v>
      </c>
      <c r="U58" s="13" cm="1">
        <f t="array" ref="U58">_xlfn.IFS($G58="__overall__",
SUMIFS(PremRes!$G$8:$G$208,PremRes!$B$8:$B$208,$G58,PremRes!$C$8:$C$208,$H58,PremRes!$F$8:$F$208,$I58,PremRes!$D$8:$D$208,U$12),
TRUE,
SUMIFS(PremRes!$G$8:$G$208,PremRes!$B$8:$B$208,"level_"&amp;$G58,PremRes!$C$8:$C$208,$H58,PremRes!$F$8:$F$208,$I58,PremRes!$D$8:$D$208,U$12))</f>
        <v>0</v>
      </c>
      <c r="V58" s="13" cm="1">
        <f t="array" ref="V58">_xlfn.IFS($G58="__overall__",
SUMIFS(PremRes!$G$8:$G$208,PremRes!$B$8:$B$208,$G58,PremRes!$C$8:$C$208,$H58,PremRes!$F$8:$F$208,$I58,PremRes!$D$8:$D$208,V$12),
TRUE,
SUMIFS(PremRes!$G$8:$G$208,PremRes!$B$8:$B$208,"level_"&amp;$G58,PremRes!$C$8:$C$208,$H58,PremRes!$F$8:$F$208,$I58,PremRes!$D$8:$D$208,V$12))</f>
        <v>0</v>
      </c>
      <c r="X58" s="100">
        <f t="shared" si="5"/>
        <v>0</v>
      </c>
      <c r="Y58" s="100">
        <f t="shared" si="3"/>
        <v>0</v>
      </c>
      <c r="Z58" s="100">
        <f t="shared" si="4"/>
        <v>0</v>
      </c>
    </row>
    <row r="59" spans="6:26">
      <c r="F59" s="4">
        <v>46</v>
      </c>
      <c r="G59" s="4">
        <v>2</v>
      </c>
      <c r="H59" s="4" t="str">
        <v>kzn</v>
      </c>
      <c r="I59" s="4" t="str">
        <v>gross charge</v>
      </c>
      <c r="K59" s="13">
        <v>46</v>
      </c>
      <c r="L59" s="13">
        <v>1040083.3640095785</v>
      </c>
      <c r="M59" s="13">
        <v>301841.24378533068</v>
      </c>
      <c r="N59" s="13">
        <v>1219334.4418685799</v>
      </c>
      <c r="O59" s="10"/>
      <c r="P59" s="13">
        <f t="shared" si="0"/>
        <v>1040083.3640095785</v>
      </c>
      <c r="Q59" s="13">
        <f t="shared" si="6"/>
        <v>301841.24378533068</v>
      </c>
      <c r="R59" s="13">
        <f t="shared" si="2"/>
        <v>1219334.4418685799</v>
      </c>
      <c r="S59" s="11"/>
      <c r="T59" s="13" cm="1">
        <f t="array" ref="T59">_xlfn.IFS($G59="__overall__",
SUMIFS(PremRes!$G$8:$G$208,PremRes!$B$8:$B$208,$G59,PremRes!$C$8:$C$208,$H59,PremRes!$F$8:$F$208,$I59,PremRes!$D$8:$D$208,T$12),
TRUE,
SUMIFS(PremRes!$G$8:$G$208,PremRes!$B$8:$B$208,"level_"&amp;$G59,PremRes!$C$8:$C$208,$H59,PremRes!$F$8:$F$208,$I59,PremRes!$D$8:$D$208,T$12))</f>
        <v>1040083.3640095785</v>
      </c>
      <c r="U59" s="13" cm="1">
        <f t="array" ref="U59">_xlfn.IFS($G59="__overall__",
SUMIFS(PremRes!$G$8:$G$208,PremRes!$B$8:$B$208,$G59,PremRes!$C$8:$C$208,$H59,PremRes!$F$8:$F$208,$I59,PremRes!$D$8:$D$208,U$12),
TRUE,
SUMIFS(PremRes!$G$8:$G$208,PremRes!$B$8:$B$208,"level_"&amp;$G59,PremRes!$C$8:$C$208,$H59,PremRes!$F$8:$F$208,$I59,PremRes!$D$8:$D$208,U$12))</f>
        <v>301841.24378533068</v>
      </c>
      <c r="V59" s="13" cm="1">
        <f t="array" ref="V59">_xlfn.IFS($G59="__overall__",
SUMIFS(PremRes!$G$8:$G$208,PremRes!$B$8:$B$208,$G59,PremRes!$C$8:$C$208,$H59,PremRes!$F$8:$F$208,$I59,PremRes!$D$8:$D$208,V$12),
TRUE,
SUMIFS(PremRes!$G$8:$G$208,PremRes!$B$8:$B$208,"level_"&amp;$G59,PremRes!$C$8:$C$208,$H59,PremRes!$F$8:$F$208,$I59,PremRes!$D$8:$D$208,V$12))</f>
        <v>1219334.4418685799</v>
      </c>
      <c r="X59" s="100">
        <f t="shared" si="5"/>
        <v>0</v>
      </c>
      <c r="Y59" s="100">
        <f t="shared" si="3"/>
        <v>0</v>
      </c>
      <c r="Z59" s="100">
        <f t="shared" si="4"/>
        <v>0</v>
      </c>
    </row>
    <row r="60" spans="6:26">
      <c r="F60" s="4">
        <v>47</v>
      </c>
      <c r="G60" s="4">
        <v>2</v>
      </c>
      <c r="H60" s="4" t="str">
        <v>kzn</v>
      </c>
      <c r="I60" s="4" t="str">
        <v>net charge</v>
      </c>
      <c r="K60" s="13">
        <v>47</v>
      </c>
      <c r="L60" s="13">
        <v>1039973.578495075</v>
      </c>
      <c r="M60" s="13">
        <v>301841.24378533068</v>
      </c>
      <c r="N60" s="13">
        <v>1219227.059142811</v>
      </c>
      <c r="O60" s="10"/>
      <c r="P60" s="13">
        <f t="shared" si="0"/>
        <v>1039973.578495075</v>
      </c>
      <c r="Q60" s="13">
        <f t="shared" si="6"/>
        <v>301841.24378533068</v>
      </c>
      <c r="R60" s="13">
        <f t="shared" si="2"/>
        <v>1219227.059142811</v>
      </c>
      <c r="S60" s="11"/>
      <c r="T60" s="13" cm="1">
        <f t="array" ref="T60">_xlfn.IFS($G60="__overall__",
SUMIFS(PremRes!$G$8:$G$208,PremRes!$B$8:$B$208,$G60,PremRes!$C$8:$C$208,$H60,PremRes!$F$8:$F$208,$I60,PremRes!$D$8:$D$208,T$12),
TRUE,
SUMIFS(PremRes!$G$8:$G$208,PremRes!$B$8:$B$208,"level_"&amp;$G60,PremRes!$C$8:$C$208,$H60,PremRes!$F$8:$F$208,$I60,PremRes!$D$8:$D$208,T$12))</f>
        <v>1039973.578495075</v>
      </c>
      <c r="U60" s="13" cm="1">
        <f t="array" ref="U60">_xlfn.IFS($G60="__overall__",
SUMIFS(PremRes!$G$8:$G$208,PremRes!$B$8:$B$208,$G60,PremRes!$C$8:$C$208,$H60,PremRes!$F$8:$F$208,$I60,PremRes!$D$8:$D$208,U$12),
TRUE,
SUMIFS(PremRes!$G$8:$G$208,PremRes!$B$8:$B$208,"level_"&amp;$G60,PremRes!$C$8:$C$208,$H60,PremRes!$F$8:$F$208,$I60,PremRes!$D$8:$D$208,U$12))</f>
        <v>301841.24378533068</v>
      </c>
      <c r="V60" s="13" cm="1">
        <f t="array" ref="V60">_xlfn.IFS($G60="__overall__",
SUMIFS(PremRes!$G$8:$G$208,PremRes!$B$8:$B$208,$G60,PremRes!$C$8:$C$208,$H60,PremRes!$F$8:$F$208,$I60,PremRes!$D$8:$D$208,V$12),
TRUE,
SUMIFS(PremRes!$G$8:$G$208,PremRes!$B$8:$B$208,"level_"&amp;$G60,PremRes!$C$8:$C$208,$H60,PremRes!$F$8:$F$208,$I60,PremRes!$D$8:$D$208,V$12))</f>
        <v>1219227.059142811</v>
      </c>
      <c r="X60" s="100">
        <f t="shared" si="5"/>
        <v>0</v>
      </c>
      <c r="Y60" s="100">
        <f t="shared" si="3"/>
        <v>0</v>
      </c>
      <c r="Z60" s="100">
        <f t="shared" si="4"/>
        <v>0</v>
      </c>
    </row>
    <row r="61" spans="6:26">
      <c r="F61" s="4">
        <v>48</v>
      </c>
      <c r="G61" s="4">
        <v>2</v>
      </c>
      <c r="H61" s="4" t="str">
        <v>kzn</v>
      </c>
      <c r="I61" s="4" t="str">
        <v>calculated net charge</v>
      </c>
      <c r="K61" s="13">
        <v>48</v>
      </c>
      <c r="L61" s="13">
        <v>1040083.3640095785</v>
      </c>
      <c r="M61" s="13">
        <v>301841.24378533068</v>
      </c>
      <c r="N61" s="13">
        <v>1219334.4418685799</v>
      </c>
      <c r="O61" s="10"/>
      <c r="P61" s="13">
        <f t="shared" si="0"/>
        <v>1040083.3640095785</v>
      </c>
      <c r="Q61" s="13">
        <f t="shared" si="6"/>
        <v>301841.24378533068</v>
      </c>
      <c r="R61" s="13">
        <f t="shared" si="2"/>
        <v>1219334.4418685799</v>
      </c>
      <c r="S61" s="11"/>
      <c r="T61" s="13" cm="1">
        <f t="array" ref="T61">_xlfn.IFS($G61="__overall__",
SUMIFS(PremRes!$G$8:$G$208,PremRes!$B$8:$B$208,$G61,PremRes!$C$8:$C$208,$H61,PremRes!$F$8:$F$208,$I61,PremRes!$D$8:$D$208,T$12),
TRUE,
SUMIFS(PremRes!$G$8:$G$208,PremRes!$B$8:$B$208,"level_"&amp;$G61,PremRes!$C$8:$C$208,$H61,PremRes!$F$8:$F$208,$I61,PremRes!$D$8:$D$208,T$12))</f>
        <v>1040083.3640095785</v>
      </c>
      <c r="U61" s="13" cm="1">
        <f t="array" ref="U61">_xlfn.IFS($G61="__overall__",
SUMIFS(PremRes!$G$8:$G$208,PremRes!$B$8:$B$208,$G61,PremRes!$C$8:$C$208,$H61,PremRes!$F$8:$F$208,$I61,PremRes!$D$8:$D$208,U$12),
TRUE,
SUMIFS(PremRes!$G$8:$G$208,PremRes!$B$8:$B$208,"level_"&amp;$G61,PremRes!$C$8:$C$208,$H61,PremRes!$F$8:$F$208,$I61,PremRes!$D$8:$D$208,U$12))</f>
        <v>301841.24378533068</v>
      </c>
      <c r="V61" s="13" cm="1">
        <f t="array" ref="V61">_xlfn.IFS($G61="__overall__",
SUMIFS(PremRes!$G$8:$G$208,PremRes!$B$8:$B$208,$G61,PremRes!$C$8:$C$208,$H61,PremRes!$F$8:$F$208,$I61,PremRes!$D$8:$D$208,V$12),
TRUE,
SUMIFS(PremRes!$G$8:$G$208,PremRes!$B$8:$B$208,"level_"&amp;$G61,PremRes!$C$8:$C$208,$H61,PremRes!$F$8:$F$208,$I61,PremRes!$D$8:$D$208,V$12))</f>
        <v>1219334.4418685799</v>
      </c>
      <c r="X61" s="100">
        <f t="shared" si="5"/>
        <v>0</v>
      </c>
      <c r="Y61" s="100">
        <f t="shared" si="3"/>
        <v>0</v>
      </c>
      <c r="Z61" s="100">
        <f t="shared" si="4"/>
        <v>0</v>
      </c>
    </row>
    <row r="62" spans="6:26">
      <c r="F62" s="4">
        <v>49</v>
      </c>
      <c r="G62" s="4">
        <v>2</v>
      </c>
      <c r="H62" s="4" t="str">
        <v>kzn</v>
      </c>
      <c r="I62" s="4" t="str">
        <v>company_a</v>
      </c>
      <c r="K62" s="13">
        <v>49</v>
      </c>
      <c r="L62" s="13">
        <v>1040083.3640095785</v>
      </c>
      <c r="M62" s="13">
        <v>301841.24378533068</v>
      </c>
      <c r="N62" s="13">
        <v>1219334.4418685799</v>
      </c>
      <c r="O62" s="10"/>
      <c r="P62" s="13">
        <f t="shared" si="0"/>
        <v>0</v>
      </c>
      <c r="Q62" s="13">
        <f t="shared" si="6"/>
        <v>0</v>
      </c>
      <c r="R62" s="13">
        <f t="shared" si="2"/>
        <v>0</v>
      </c>
      <c r="S62" s="11"/>
      <c r="T62" s="13" cm="1">
        <f t="array" ref="T62">_xlfn.IFS($G62="__overall__",
SUMIFS(PremRes!$G$8:$G$208,PremRes!$B$8:$B$208,$G62,PremRes!$C$8:$C$208,$H62,PremRes!$F$8:$F$208,$I62,PremRes!$D$8:$D$208,T$12),
TRUE,
SUMIFS(PremRes!$G$8:$G$208,PremRes!$B$8:$B$208,"level_"&amp;$G62,PremRes!$C$8:$C$208,$H62,PremRes!$F$8:$F$208,$I62,PremRes!$D$8:$D$208,T$12))</f>
        <v>0</v>
      </c>
      <c r="U62" s="13" cm="1">
        <f t="array" ref="U62">_xlfn.IFS($G62="__overall__",
SUMIFS(PremRes!$G$8:$G$208,PremRes!$B$8:$B$208,$G62,PremRes!$C$8:$C$208,$H62,PremRes!$F$8:$F$208,$I62,PremRes!$D$8:$D$208,U$12),
TRUE,
SUMIFS(PremRes!$G$8:$G$208,PremRes!$B$8:$B$208,"level_"&amp;$G62,PremRes!$C$8:$C$208,$H62,PremRes!$F$8:$F$208,$I62,PremRes!$D$8:$D$208,U$12))</f>
        <v>0</v>
      </c>
      <c r="V62" s="13" cm="1">
        <f t="array" ref="V62">_xlfn.IFS($G62="__overall__",
SUMIFS(PremRes!$G$8:$G$208,PremRes!$B$8:$B$208,$G62,PremRes!$C$8:$C$208,$H62,PremRes!$F$8:$F$208,$I62,PremRes!$D$8:$D$208,V$12),
TRUE,
SUMIFS(PremRes!$G$8:$G$208,PremRes!$B$8:$B$208,"level_"&amp;$G62,PremRes!$C$8:$C$208,$H62,PremRes!$F$8:$F$208,$I62,PremRes!$D$8:$D$208,V$12))</f>
        <v>0</v>
      </c>
      <c r="X62" s="100">
        <f t="shared" si="5"/>
        <v>0</v>
      </c>
      <c r="Y62" s="100">
        <f t="shared" si="3"/>
        <v>0</v>
      </c>
      <c r="Z62" s="100">
        <f t="shared" si="4"/>
        <v>0</v>
      </c>
    </row>
    <row r="63" spans="6:26">
      <c r="F63" s="4">
        <v>50</v>
      </c>
      <c r="G63" s="4">
        <v>2</v>
      </c>
      <c r="H63" s="4" t="str">
        <v>kzn</v>
      </c>
      <c r="I63" s="4" t="str">
        <v>company_b</v>
      </c>
      <c r="K63" s="13">
        <v>50</v>
      </c>
      <c r="L63" s="13">
        <v>1040083.3640095785</v>
      </c>
      <c r="M63" s="13">
        <v>301841.24378533068</v>
      </c>
      <c r="N63" s="13">
        <v>1219334.4418685799</v>
      </c>
      <c r="O63" s="10"/>
      <c r="P63" s="13">
        <f t="shared" si="0"/>
        <v>0</v>
      </c>
      <c r="Q63" s="13">
        <f t="shared" si="6"/>
        <v>0</v>
      </c>
      <c r="R63" s="13">
        <f t="shared" si="2"/>
        <v>0</v>
      </c>
      <c r="S63" s="11"/>
      <c r="T63" s="13" cm="1">
        <f t="array" ref="T63">_xlfn.IFS($G63="__overall__",
SUMIFS(PremRes!$G$8:$G$208,PremRes!$B$8:$B$208,$G63,PremRes!$C$8:$C$208,$H63,PremRes!$F$8:$F$208,$I63,PremRes!$D$8:$D$208,T$12),
TRUE,
SUMIFS(PremRes!$G$8:$G$208,PremRes!$B$8:$B$208,"level_"&amp;$G63,PremRes!$C$8:$C$208,$H63,PremRes!$F$8:$F$208,$I63,PremRes!$D$8:$D$208,T$12))</f>
        <v>0</v>
      </c>
      <c r="U63" s="13" cm="1">
        <f t="array" ref="U63">_xlfn.IFS($G63="__overall__",
SUMIFS(PremRes!$G$8:$G$208,PremRes!$B$8:$B$208,$G63,PremRes!$C$8:$C$208,$H63,PremRes!$F$8:$F$208,$I63,PremRes!$D$8:$D$208,U$12),
TRUE,
SUMIFS(PremRes!$G$8:$G$208,PremRes!$B$8:$B$208,"level_"&amp;$G63,PremRes!$C$8:$C$208,$H63,PremRes!$F$8:$F$208,$I63,PremRes!$D$8:$D$208,U$12))</f>
        <v>0</v>
      </c>
      <c r="V63" s="13" cm="1">
        <f t="array" ref="V63">_xlfn.IFS($G63="__overall__",
SUMIFS(PremRes!$G$8:$G$208,PremRes!$B$8:$B$208,$G63,PremRes!$C$8:$C$208,$H63,PremRes!$F$8:$F$208,$I63,PremRes!$D$8:$D$208,V$12),
TRUE,
SUMIFS(PremRes!$G$8:$G$208,PremRes!$B$8:$B$208,"level_"&amp;$G63,PremRes!$C$8:$C$208,$H63,PremRes!$F$8:$F$208,$I63,PremRes!$D$8:$D$208,V$12))</f>
        <v>0</v>
      </c>
      <c r="X63" s="100">
        <f t="shared" si="5"/>
        <v>0</v>
      </c>
      <c r="Y63" s="100">
        <f t="shared" si="3"/>
        <v>0</v>
      </c>
      <c r="Z63" s="100">
        <f t="shared" si="4"/>
        <v>0</v>
      </c>
    </row>
    <row r="64" spans="6:26">
      <c r="F64" s="4">
        <v>51</v>
      </c>
      <c r="G64" s="4">
        <v>2</v>
      </c>
      <c r="H64" s="4" t="str">
        <v>kzn</v>
      </c>
      <c r="I64" s="4" t="str">
        <v>company_c</v>
      </c>
      <c r="K64" s="13">
        <v>51</v>
      </c>
      <c r="L64" s="13">
        <v>1040083.3640095785</v>
      </c>
      <c r="M64" s="13">
        <v>301841.24378533068</v>
      </c>
      <c r="N64" s="13">
        <v>1219334.4418685799</v>
      </c>
      <c r="O64" s="10"/>
      <c r="P64" s="13">
        <f t="shared" si="0"/>
        <v>0</v>
      </c>
      <c r="Q64" s="13">
        <f t="shared" si="6"/>
        <v>0</v>
      </c>
      <c r="R64" s="13">
        <f t="shared" si="2"/>
        <v>0</v>
      </c>
      <c r="S64" s="11"/>
      <c r="T64" s="13" cm="1">
        <f t="array" ref="T64">_xlfn.IFS($G64="__overall__",
SUMIFS(PremRes!$G$8:$G$208,PremRes!$B$8:$B$208,$G64,PremRes!$C$8:$C$208,$H64,PremRes!$F$8:$F$208,$I64,PremRes!$D$8:$D$208,T$12),
TRUE,
SUMIFS(PremRes!$G$8:$G$208,PremRes!$B$8:$B$208,"level_"&amp;$G64,PremRes!$C$8:$C$208,$H64,PremRes!$F$8:$F$208,$I64,PremRes!$D$8:$D$208,T$12))</f>
        <v>0</v>
      </c>
      <c r="U64" s="13" cm="1">
        <f t="array" ref="U64">_xlfn.IFS($G64="__overall__",
SUMIFS(PremRes!$G$8:$G$208,PremRes!$B$8:$B$208,$G64,PremRes!$C$8:$C$208,$H64,PremRes!$F$8:$F$208,$I64,PremRes!$D$8:$D$208,U$12),
TRUE,
SUMIFS(PremRes!$G$8:$G$208,PremRes!$B$8:$B$208,"level_"&amp;$G64,PremRes!$C$8:$C$208,$H64,PremRes!$F$8:$F$208,$I64,PremRes!$D$8:$D$208,U$12))</f>
        <v>0</v>
      </c>
      <c r="V64" s="13" cm="1">
        <f t="array" ref="V64">_xlfn.IFS($G64="__overall__",
SUMIFS(PremRes!$G$8:$G$208,PremRes!$B$8:$B$208,$G64,PremRes!$C$8:$C$208,$H64,PremRes!$F$8:$F$208,$I64,PremRes!$D$8:$D$208,V$12),
TRUE,
SUMIFS(PremRes!$G$8:$G$208,PremRes!$B$8:$B$208,"level_"&amp;$G64,PremRes!$C$8:$C$208,$H64,PremRes!$F$8:$F$208,$I64,PremRes!$D$8:$D$208,V$12))</f>
        <v>0</v>
      </c>
      <c r="X64" s="100">
        <f t="shared" si="5"/>
        <v>0</v>
      </c>
      <c r="Y64" s="100">
        <f t="shared" si="3"/>
        <v>0</v>
      </c>
      <c r="Z64" s="100">
        <f t="shared" si="4"/>
        <v>0</v>
      </c>
    </row>
    <row r="65" spans="6:26">
      <c r="F65" s="4">
        <v>52</v>
      </c>
      <c r="G65" s="4">
        <v>2</v>
      </c>
      <c r="H65" s="4" t="str">
        <v>kzn</v>
      </c>
      <c r="I65" s="4" t="str">
        <v>company_d</v>
      </c>
      <c r="K65" s="13">
        <v>52</v>
      </c>
      <c r="L65" s="13">
        <v>1040083.3640095785</v>
      </c>
      <c r="M65" s="13">
        <v>301841.24378533068</v>
      </c>
      <c r="N65" s="13">
        <v>1219334.4418685799</v>
      </c>
      <c r="O65" s="10"/>
      <c r="P65" s="13">
        <f t="shared" si="0"/>
        <v>0</v>
      </c>
      <c r="Q65" s="13">
        <f t="shared" si="6"/>
        <v>0</v>
      </c>
      <c r="R65" s="13">
        <f t="shared" si="2"/>
        <v>0</v>
      </c>
      <c r="S65" s="11"/>
      <c r="T65" s="13" cm="1">
        <f t="array" ref="T65">_xlfn.IFS($G65="__overall__",
SUMIFS(PremRes!$G$8:$G$208,PremRes!$B$8:$B$208,$G65,PremRes!$C$8:$C$208,$H65,PremRes!$F$8:$F$208,$I65,PremRes!$D$8:$D$208,T$12),
TRUE,
SUMIFS(PremRes!$G$8:$G$208,PremRes!$B$8:$B$208,"level_"&amp;$G65,PremRes!$C$8:$C$208,$H65,PremRes!$F$8:$F$208,$I65,PremRes!$D$8:$D$208,T$12))</f>
        <v>0</v>
      </c>
      <c r="U65" s="13" cm="1">
        <f t="array" ref="U65">_xlfn.IFS($G65="__overall__",
SUMIFS(PremRes!$G$8:$G$208,PremRes!$B$8:$B$208,$G65,PremRes!$C$8:$C$208,$H65,PremRes!$F$8:$F$208,$I65,PremRes!$D$8:$D$208,U$12),
TRUE,
SUMIFS(PremRes!$G$8:$G$208,PremRes!$B$8:$B$208,"level_"&amp;$G65,PremRes!$C$8:$C$208,$H65,PremRes!$F$8:$F$208,$I65,PremRes!$D$8:$D$208,U$12))</f>
        <v>0</v>
      </c>
      <c r="V65" s="13" cm="1">
        <f t="array" ref="V65">_xlfn.IFS($G65="__overall__",
SUMIFS(PremRes!$G$8:$G$208,PremRes!$B$8:$B$208,$G65,PremRes!$C$8:$C$208,$H65,PremRes!$F$8:$F$208,$I65,PremRes!$D$8:$D$208,V$12),
TRUE,
SUMIFS(PremRes!$G$8:$G$208,PremRes!$B$8:$B$208,"level_"&amp;$G65,PremRes!$C$8:$C$208,$H65,PremRes!$F$8:$F$208,$I65,PremRes!$D$8:$D$208,V$12))</f>
        <v>0</v>
      </c>
      <c r="X65" s="100">
        <f t="shared" si="5"/>
        <v>0</v>
      </c>
      <c r="Y65" s="100">
        <f t="shared" si="3"/>
        <v>0</v>
      </c>
      <c r="Z65" s="100">
        <f t="shared" si="4"/>
        <v>0</v>
      </c>
    </row>
    <row r="66" spans="6:26">
      <c r="F66" s="4">
        <v>53</v>
      </c>
      <c r="G66" s="4">
        <v>2</v>
      </c>
      <c r="H66" s="4" t="str">
        <v>kzn</v>
      </c>
      <c r="I66" s="4" t="str">
        <v>company_e</v>
      </c>
      <c r="K66" s="13">
        <v>53</v>
      </c>
      <c r="L66" s="13">
        <v>1040083.3640095785</v>
      </c>
      <c r="M66" s="13">
        <v>301841.24378533068</v>
      </c>
      <c r="N66" s="13">
        <v>1219334.4418685799</v>
      </c>
      <c r="O66" s="10"/>
      <c r="P66" s="13">
        <f t="shared" si="0"/>
        <v>0</v>
      </c>
      <c r="Q66" s="13">
        <f t="shared" si="6"/>
        <v>0</v>
      </c>
      <c r="R66" s="13">
        <f t="shared" si="2"/>
        <v>0</v>
      </c>
      <c r="S66" s="11"/>
      <c r="T66" s="13" cm="1">
        <f t="array" ref="T66">_xlfn.IFS($G66="__overall__",
SUMIFS(PremRes!$G$8:$G$208,PremRes!$B$8:$B$208,$G66,PremRes!$C$8:$C$208,$H66,PremRes!$F$8:$F$208,$I66,PremRes!$D$8:$D$208,T$12),
TRUE,
SUMIFS(PremRes!$G$8:$G$208,PremRes!$B$8:$B$208,"level_"&amp;$G66,PremRes!$C$8:$C$208,$H66,PremRes!$F$8:$F$208,$I66,PremRes!$D$8:$D$208,T$12))</f>
        <v>0</v>
      </c>
      <c r="U66" s="13" cm="1">
        <f t="array" ref="U66">_xlfn.IFS($G66="__overall__",
SUMIFS(PremRes!$G$8:$G$208,PremRes!$B$8:$B$208,$G66,PremRes!$C$8:$C$208,$H66,PremRes!$F$8:$F$208,$I66,PremRes!$D$8:$D$208,U$12),
TRUE,
SUMIFS(PremRes!$G$8:$G$208,PremRes!$B$8:$B$208,"level_"&amp;$G66,PremRes!$C$8:$C$208,$H66,PremRes!$F$8:$F$208,$I66,PremRes!$D$8:$D$208,U$12))</f>
        <v>0</v>
      </c>
      <c r="V66" s="13" cm="1">
        <f t="array" ref="V66">_xlfn.IFS($G66="__overall__",
SUMIFS(PremRes!$G$8:$G$208,PremRes!$B$8:$B$208,$G66,PremRes!$C$8:$C$208,$H66,PremRes!$F$8:$F$208,$I66,PremRes!$D$8:$D$208,V$12),
TRUE,
SUMIFS(PremRes!$G$8:$G$208,PremRes!$B$8:$B$208,"level_"&amp;$G66,PremRes!$C$8:$C$208,$H66,PremRes!$F$8:$F$208,$I66,PremRes!$D$8:$D$208,V$12))</f>
        <v>0</v>
      </c>
      <c r="X66" s="100">
        <f t="shared" si="5"/>
        <v>0</v>
      </c>
      <c r="Y66" s="100">
        <f t="shared" si="3"/>
        <v>0</v>
      </c>
      <c r="Z66" s="100">
        <f t="shared" si="4"/>
        <v>0</v>
      </c>
    </row>
    <row r="67" spans="6:26">
      <c r="F67" s="4">
        <v>54</v>
      </c>
      <c r="G67" s="4">
        <v>2</v>
      </c>
      <c r="H67" s="4" t="str">
        <v>kzn</v>
      </c>
      <c r="I67" s="4" t="str">
        <v>company_g</v>
      </c>
      <c r="K67" s="13">
        <v>54</v>
      </c>
      <c r="L67" s="13">
        <v>1040083.3640095785</v>
      </c>
      <c r="M67" s="13">
        <v>301841.24378533068</v>
      </c>
      <c r="N67" s="13">
        <v>1219334.4418685799</v>
      </c>
      <c r="O67" s="10"/>
      <c r="P67" s="13">
        <f t="shared" si="0"/>
        <v>0</v>
      </c>
      <c r="Q67" s="13">
        <f t="shared" si="6"/>
        <v>0</v>
      </c>
      <c r="R67" s="13">
        <f t="shared" si="2"/>
        <v>0</v>
      </c>
      <c r="S67" s="11"/>
      <c r="T67" s="13" cm="1">
        <f t="array" ref="T67">_xlfn.IFS($G67="__overall__",
SUMIFS(PremRes!$G$8:$G$208,PremRes!$B$8:$B$208,$G67,PremRes!$C$8:$C$208,$H67,PremRes!$F$8:$F$208,$I67,PremRes!$D$8:$D$208,T$12),
TRUE,
SUMIFS(PremRes!$G$8:$G$208,PremRes!$B$8:$B$208,"level_"&amp;$G67,PremRes!$C$8:$C$208,$H67,PremRes!$F$8:$F$208,$I67,PremRes!$D$8:$D$208,T$12))</f>
        <v>0</v>
      </c>
      <c r="U67" s="13" cm="1">
        <f t="array" ref="U67">_xlfn.IFS($G67="__overall__",
SUMIFS(PremRes!$G$8:$G$208,PremRes!$B$8:$B$208,$G67,PremRes!$C$8:$C$208,$H67,PremRes!$F$8:$F$208,$I67,PremRes!$D$8:$D$208,U$12),
TRUE,
SUMIFS(PremRes!$G$8:$G$208,PremRes!$B$8:$B$208,"level_"&amp;$G67,PremRes!$C$8:$C$208,$H67,PremRes!$F$8:$F$208,$I67,PremRes!$D$8:$D$208,U$12))</f>
        <v>0</v>
      </c>
      <c r="V67" s="13" cm="1">
        <f t="array" ref="V67">_xlfn.IFS($G67="__overall__",
SUMIFS(PremRes!$G$8:$G$208,PremRes!$B$8:$B$208,$G67,PremRes!$C$8:$C$208,$H67,PremRes!$F$8:$F$208,$I67,PremRes!$D$8:$D$208,V$12),
TRUE,
SUMIFS(PremRes!$G$8:$G$208,PremRes!$B$8:$B$208,"level_"&amp;$G67,PremRes!$C$8:$C$208,$H67,PremRes!$F$8:$F$208,$I67,PremRes!$D$8:$D$208,V$12))</f>
        <v>0</v>
      </c>
      <c r="X67" s="100">
        <f t="shared" si="5"/>
        <v>0</v>
      </c>
      <c r="Y67" s="100">
        <f t="shared" si="3"/>
        <v>0</v>
      </c>
      <c r="Z67" s="100">
        <f t="shared" si="4"/>
        <v>0</v>
      </c>
    </row>
    <row r="68" spans="6:26">
      <c r="F68" s="4">
        <v>55</v>
      </c>
      <c r="G68" s="4">
        <v>2</v>
      </c>
      <c r="H68" s="4" t="str">
        <v>western cape</v>
      </c>
      <c r="I68" s="4" t="str">
        <v>gross charge</v>
      </c>
      <c r="K68" s="13">
        <v>55</v>
      </c>
      <c r="L68" s="13">
        <v>3152479.5487955636</v>
      </c>
      <c r="M68" s="13">
        <v>1921217.4908788721</v>
      </c>
      <c r="N68" s="13">
        <v>4438230.2576274928</v>
      </c>
      <c r="O68" s="10"/>
      <c r="P68" s="13">
        <f t="shared" si="0"/>
        <v>3152479.5487955636</v>
      </c>
      <c r="Q68" s="13">
        <f t="shared" si="6"/>
        <v>1921217.4908788721</v>
      </c>
      <c r="R68" s="13">
        <f t="shared" si="2"/>
        <v>4438230.2576274928</v>
      </c>
      <c r="S68" s="11"/>
      <c r="T68" s="13" cm="1">
        <f t="array" ref="T68">_xlfn.IFS($G68="__overall__",
SUMIFS(PremRes!$G$8:$G$208,PremRes!$B$8:$B$208,$G68,PremRes!$C$8:$C$208,$H68,PremRes!$F$8:$F$208,$I68,PremRes!$D$8:$D$208,T$12),
TRUE,
SUMIFS(PremRes!$G$8:$G$208,PremRes!$B$8:$B$208,"level_"&amp;$G68,PremRes!$C$8:$C$208,$H68,PremRes!$F$8:$F$208,$I68,PremRes!$D$8:$D$208,T$12))</f>
        <v>3152479.5487955636</v>
      </c>
      <c r="U68" s="13" cm="1">
        <f t="array" ref="U68">_xlfn.IFS($G68="__overall__",
SUMIFS(PremRes!$G$8:$G$208,PremRes!$B$8:$B$208,$G68,PremRes!$C$8:$C$208,$H68,PremRes!$F$8:$F$208,$I68,PremRes!$D$8:$D$208,U$12),
TRUE,
SUMIFS(PremRes!$G$8:$G$208,PremRes!$B$8:$B$208,"level_"&amp;$G68,PremRes!$C$8:$C$208,$H68,PremRes!$F$8:$F$208,$I68,PremRes!$D$8:$D$208,U$12))</f>
        <v>1921217.4908788721</v>
      </c>
      <c r="V68" s="13" cm="1">
        <f t="array" ref="V68">_xlfn.IFS($G68="__overall__",
SUMIFS(PremRes!$G$8:$G$208,PremRes!$B$8:$B$208,$G68,PremRes!$C$8:$C$208,$H68,PremRes!$F$8:$F$208,$I68,PremRes!$D$8:$D$208,V$12),
TRUE,
SUMIFS(PremRes!$G$8:$G$208,PremRes!$B$8:$B$208,"level_"&amp;$G68,PremRes!$C$8:$C$208,$H68,PremRes!$F$8:$F$208,$I68,PremRes!$D$8:$D$208,V$12))</f>
        <v>4438230.2576274928</v>
      </c>
      <c r="X68" s="100">
        <f t="shared" si="5"/>
        <v>0</v>
      </c>
      <c r="Y68" s="100">
        <f t="shared" si="3"/>
        <v>0</v>
      </c>
      <c r="Z68" s="100">
        <f t="shared" si="4"/>
        <v>0</v>
      </c>
    </row>
    <row r="69" spans="6:26">
      <c r="F69" s="4">
        <v>56</v>
      </c>
      <c r="G69" s="4">
        <v>2</v>
      </c>
      <c r="H69" s="4" t="str">
        <v>western cape</v>
      </c>
      <c r="I69" s="4" t="str">
        <v>net charge</v>
      </c>
      <c r="K69" s="13">
        <v>56</v>
      </c>
      <c r="L69" s="13">
        <v>2875875.5695562134</v>
      </c>
      <c r="M69" s="13">
        <v>1301647.7358448131</v>
      </c>
      <c r="N69" s="13">
        <v>3699319.7562067537</v>
      </c>
      <c r="O69" s="10"/>
      <c r="P69" s="13">
        <f t="shared" si="0"/>
        <v>2875875.5695562134</v>
      </c>
      <c r="Q69" s="13">
        <f t="shared" si="6"/>
        <v>1301647.7358448131</v>
      </c>
      <c r="R69" s="13">
        <f t="shared" si="2"/>
        <v>3699319.7562067537</v>
      </c>
      <c r="S69" s="11"/>
      <c r="T69" s="13" cm="1">
        <f t="array" ref="T69">_xlfn.IFS($G69="__overall__",
SUMIFS(PremRes!$G$8:$G$208,PremRes!$B$8:$B$208,$G69,PremRes!$C$8:$C$208,$H69,PremRes!$F$8:$F$208,$I69,PremRes!$D$8:$D$208,T$12),
TRUE,
SUMIFS(PremRes!$G$8:$G$208,PremRes!$B$8:$B$208,"level_"&amp;$G69,PremRes!$C$8:$C$208,$H69,PremRes!$F$8:$F$208,$I69,PremRes!$D$8:$D$208,T$12))</f>
        <v>2875875.569556213</v>
      </c>
      <c r="U69" s="13" cm="1">
        <f t="array" ref="U69">_xlfn.IFS($G69="__overall__",
SUMIFS(PremRes!$G$8:$G$208,PremRes!$B$8:$B$208,$G69,PremRes!$C$8:$C$208,$H69,PremRes!$F$8:$F$208,$I69,PremRes!$D$8:$D$208,U$12),
TRUE,
SUMIFS(PremRes!$G$8:$G$208,PremRes!$B$8:$B$208,"level_"&amp;$G69,PremRes!$C$8:$C$208,$H69,PremRes!$F$8:$F$208,$I69,PremRes!$D$8:$D$208,U$12))</f>
        <v>1301647.7358448131</v>
      </c>
      <c r="V69" s="13" cm="1">
        <f t="array" ref="V69">_xlfn.IFS($G69="__overall__",
SUMIFS(PremRes!$G$8:$G$208,PremRes!$B$8:$B$208,$G69,PremRes!$C$8:$C$208,$H69,PremRes!$F$8:$F$208,$I69,PremRes!$D$8:$D$208,V$12),
TRUE,
SUMIFS(PremRes!$G$8:$G$208,PremRes!$B$8:$B$208,"level_"&amp;$G69,PremRes!$C$8:$C$208,$H69,PremRes!$F$8:$F$208,$I69,PremRes!$D$8:$D$208,V$12))</f>
        <v>3699319.7562067546</v>
      </c>
      <c r="X69" s="100">
        <f t="shared" si="5"/>
        <v>0</v>
      </c>
      <c r="Y69" s="100">
        <f t="shared" si="3"/>
        <v>0</v>
      </c>
      <c r="Z69" s="100">
        <f t="shared" si="4"/>
        <v>0</v>
      </c>
    </row>
    <row r="70" spans="6:26">
      <c r="F70" s="4">
        <v>57</v>
      </c>
      <c r="G70" s="4">
        <v>2</v>
      </c>
      <c r="H70" s="4" t="str">
        <v>western cape</v>
      </c>
      <c r="I70" s="4" t="str">
        <v>calculated net charge</v>
      </c>
      <c r="K70" s="13">
        <v>57</v>
      </c>
      <c r="L70" s="13">
        <v>2526574.5207635895</v>
      </c>
      <c r="M70" s="13">
        <v>1358090.1232993316</v>
      </c>
      <c r="N70" s="13">
        <v>3419146.1078602504</v>
      </c>
      <c r="O70" s="10"/>
      <c r="P70" s="13">
        <f t="shared" si="0"/>
        <v>2526574.5207635895</v>
      </c>
      <c r="Q70" s="13">
        <f t="shared" si="6"/>
        <v>1358090.1232993316</v>
      </c>
      <c r="R70" s="13">
        <f t="shared" si="2"/>
        <v>3419146.1078602504</v>
      </c>
      <c r="S70" s="11"/>
      <c r="T70" s="13" cm="1">
        <f t="array" ref="T70">_xlfn.IFS($G70="__overall__",
SUMIFS(PremRes!$G$8:$G$208,PremRes!$B$8:$B$208,$G70,PremRes!$C$8:$C$208,$H70,PremRes!$F$8:$F$208,$I70,PremRes!$D$8:$D$208,T$12),
TRUE,
SUMIFS(PremRes!$G$8:$G$208,PremRes!$B$8:$B$208,"level_"&amp;$G70,PremRes!$C$8:$C$208,$H70,PremRes!$F$8:$F$208,$I70,PremRes!$D$8:$D$208,T$12))</f>
        <v>2526574.5207635891</v>
      </c>
      <c r="U70" s="13" cm="1">
        <f t="array" ref="U70">_xlfn.IFS($G70="__overall__",
SUMIFS(PremRes!$G$8:$G$208,PremRes!$B$8:$B$208,$G70,PremRes!$C$8:$C$208,$H70,PremRes!$F$8:$F$208,$I70,PremRes!$D$8:$D$208,U$12),
TRUE,
SUMIFS(PremRes!$G$8:$G$208,PremRes!$B$8:$B$208,"level_"&amp;$G70,PremRes!$C$8:$C$208,$H70,PremRes!$F$8:$F$208,$I70,PremRes!$D$8:$D$208,U$12))</f>
        <v>1358090.1232993316</v>
      </c>
      <c r="V70" s="13" cm="1">
        <f t="array" ref="V70">_xlfn.IFS($G70="__overall__",
SUMIFS(PremRes!$G$8:$G$208,PremRes!$B$8:$B$208,$G70,PremRes!$C$8:$C$208,$H70,PremRes!$F$8:$F$208,$I70,PremRes!$D$8:$D$208,V$12),
TRUE,
SUMIFS(PremRes!$G$8:$G$208,PremRes!$B$8:$B$208,"level_"&amp;$G70,PremRes!$C$8:$C$208,$H70,PremRes!$F$8:$F$208,$I70,PremRes!$D$8:$D$208,V$12))</f>
        <v>3419146.1078602504</v>
      </c>
      <c r="X70" s="100">
        <f t="shared" si="5"/>
        <v>0</v>
      </c>
      <c r="Y70" s="100">
        <f t="shared" si="3"/>
        <v>0</v>
      </c>
      <c r="Z70" s="100">
        <f t="shared" si="4"/>
        <v>0</v>
      </c>
    </row>
    <row r="71" spans="6:26">
      <c r="F71" s="4">
        <v>58</v>
      </c>
      <c r="G71" s="4">
        <v>2</v>
      </c>
      <c r="H71" s="4" t="str">
        <v>western cape</v>
      </c>
      <c r="I71" s="4" t="str">
        <v>company_a</v>
      </c>
      <c r="K71" s="13">
        <v>58</v>
      </c>
      <c r="L71" s="13">
        <v>2756885.7374464422</v>
      </c>
      <c r="M71" s="13">
        <v>1626734.0616932246</v>
      </c>
      <c r="N71" s="13">
        <v>3840562.9261488523</v>
      </c>
      <c r="O71" s="10"/>
      <c r="P71" s="13">
        <f t="shared" si="0"/>
        <v>230311.21668285271</v>
      </c>
      <c r="Q71" s="13">
        <f t="shared" si="6"/>
        <v>268643.93839389295</v>
      </c>
      <c r="R71" s="13">
        <f t="shared" si="2"/>
        <v>421416.81828860193</v>
      </c>
      <c r="S71" s="11"/>
      <c r="T71" s="13" cm="1">
        <f t="array" ref="T71">_xlfn.IFS($G71="__overall__",
SUMIFS(PremRes!$G$8:$G$208,PremRes!$B$8:$B$208,$G71,PremRes!$C$8:$C$208,$H71,PremRes!$F$8:$F$208,$I71,PremRes!$D$8:$D$208,T$12),
TRUE,
SUMIFS(PremRes!$G$8:$G$208,PremRes!$B$8:$B$208,"level_"&amp;$G71,PremRes!$C$8:$C$208,$H71,PremRes!$F$8:$F$208,$I71,PremRes!$D$8:$D$208,T$12))</f>
        <v>230311.21668285318</v>
      </c>
      <c r="U71" s="13" cm="1">
        <f t="array" ref="U71">_xlfn.IFS($G71="__overall__",
SUMIFS(PremRes!$G$8:$G$208,PremRes!$B$8:$B$208,$G71,PremRes!$C$8:$C$208,$H71,PremRes!$F$8:$F$208,$I71,PremRes!$D$8:$D$208,U$12),
TRUE,
SUMIFS(PremRes!$G$8:$G$208,PremRes!$B$8:$B$208,"level_"&amp;$G71,PremRes!$C$8:$C$208,$H71,PremRes!$F$8:$F$208,$I71,PremRes!$D$8:$D$208,U$12))</f>
        <v>268643.93839389295</v>
      </c>
      <c r="V71" s="13" cm="1">
        <f t="array" ref="V71">_xlfn.IFS($G71="__overall__",
SUMIFS(PremRes!$G$8:$G$208,PremRes!$B$8:$B$208,$G71,PremRes!$C$8:$C$208,$H71,PremRes!$F$8:$F$208,$I71,PremRes!$D$8:$D$208,V$12),
TRUE,
SUMIFS(PremRes!$G$8:$G$208,PremRes!$B$8:$B$208,"level_"&amp;$G71,PremRes!$C$8:$C$208,$H71,PremRes!$F$8:$F$208,$I71,PremRes!$D$8:$D$208,V$12))</f>
        <v>421416.818288601</v>
      </c>
      <c r="X71" s="100">
        <f t="shared" si="5"/>
        <v>-4.6566128730773926E-10</v>
      </c>
      <c r="Y71" s="100">
        <f t="shared" si="3"/>
        <v>0</v>
      </c>
      <c r="Z71" s="100">
        <f t="shared" si="4"/>
        <v>9.3132257461547852E-10</v>
      </c>
    </row>
    <row r="72" spans="6:26">
      <c r="F72" s="4">
        <v>59</v>
      </c>
      <c r="G72" s="4">
        <v>2</v>
      </c>
      <c r="H72" s="4" t="str">
        <v>western cape</v>
      </c>
      <c r="I72" s="4" t="str">
        <v>company_b</v>
      </c>
      <c r="K72" s="13">
        <v>59</v>
      </c>
      <c r="L72" s="13">
        <v>2780903.7616231036</v>
      </c>
      <c r="M72" s="13">
        <v>1597108.865960917</v>
      </c>
      <c r="N72" s="13">
        <v>3840370.2910235114</v>
      </c>
      <c r="O72" s="10"/>
      <c r="P72" s="13">
        <f t="shared" si="0"/>
        <v>254329.2408595141</v>
      </c>
      <c r="Q72" s="13">
        <f t="shared" si="6"/>
        <v>239018.74266158533</v>
      </c>
      <c r="R72" s="13">
        <f t="shared" si="2"/>
        <v>421224.18316326104</v>
      </c>
      <c r="S72" s="11"/>
      <c r="T72" s="13" cm="1">
        <f t="array" ref="T72">_xlfn.IFS($G72="__overall__",
SUMIFS(PremRes!$G$8:$G$208,PremRes!$B$8:$B$208,$G72,PremRes!$C$8:$C$208,$H72,PremRes!$F$8:$F$208,$I72,PremRes!$D$8:$D$208,T$12),
TRUE,
SUMIFS(PremRes!$G$8:$G$208,PremRes!$B$8:$B$208,"level_"&amp;$G72,PremRes!$C$8:$C$208,$H72,PremRes!$F$8:$F$208,$I72,PremRes!$D$8:$D$208,T$12))</f>
        <v>254329.24085951457</v>
      </c>
      <c r="U72" s="13" cm="1">
        <f t="array" ref="U72">_xlfn.IFS($G72="__overall__",
SUMIFS(PremRes!$G$8:$G$208,PremRes!$B$8:$B$208,$G72,PremRes!$C$8:$C$208,$H72,PremRes!$F$8:$F$208,$I72,PremRes!$D$8:$D$208,U$12),
TRUE,
SUMIFS(PremRes!$G$8:$G$208,PremRes!$B$8:$B$208,"level_"&amp;$G72,PremRes!$C$8:$C$208,$H72,PremRes!$F$8:$F$208,$I72,PremRes!$D$8:$D$208,U$12))</f>
        <v>239018.74266158533</v>
      </c>
      <c r="V72" s="13" cm="1">
        <f t="array" ref="V72">_xlfn.IFS($G72="__overall__",
SUMIFS(PremRes!$G$8:$G$208,PremRes!$B$8:$B$208,$G72,PremRes!$C$8:$C$208,$H72,PremRes!$F$8:$F$208,$I72,PremRes!$D$8:$D$208,V$12),
TRUE,
SUMIFS(PremRes!$G$8:$G$208,PremRes!$B$8:$B$208,"level_"&amp;$G72,PremRes!$C$8:$C$208,$H72,PremRes!$F$8:$F$208,$I72,PremRes!$D$8:$D$208,V$12))</f>
        <v>421224.18316326104</v>
      </c>
      <c r="X72" s="100">
        <f t="shared" si="5"/>
        <v>-4.6566128730773926E-10</v>
      </c>
      <c r="Y72" s="100">
        <f t="shared" si="3"/>
        <v>0</v>
      </c>
      <c r="Z72" s="100">
        <f t="shared" si="4"/>
        <v>0</v>
      </c>
    </row>
    <row r="73" spans="6:26">
      <c r="F73" s="4">
        <v>60</v>
      </c>
      <c r="G73" s="4">
        <v>2</v>
      </c>
      <c r="H73" s="4" t="str">
        <v>western cape</v>
      </c>
      <c r="I73" s="4" t="str">
        <v>company_c</v>
      </c>
      <c r="K73" s="13">
        <v>60</v>
      </c>
      <c r="L73" s="13">
        <v>2660582.7662747982</v>
      </c>
      <c r="M73" s="13">
        <v>1408043.5272409604</v>
      </c>
      <c r="N73" s="13">
        <v>3584004.3202256095</v>
      </c>
      <c r="O73" s="10"/>
      <c r="P73" s="13">
        <f t="shared" si="0"/>
        <v>134008.24551120866</v>
      </c>
      <c r="Q73" s="13">
        <f t="shared" si="6"/>
        <v>49953.403941628756</v>
      </c>
      <c r="R73" s="13">
        <f t="shared" si="2"/>
        <v>164858.21236535907</v>
      </c>
      <c r="S73" s="11"/>
      <c r="T73" s="13" cm="1">
        <f t="array" ref="T73">_xlfn.IFS($G73="__overall__",
SUMIFS(PremRes!$G$8:$G$208,PremRes!$B$8:$B$208,$G73,PremRes!$C$8:$C$208,$H73,PremRes!$F$8:$F$208,$I73,PremRes!$D$8:$D$208,T$12),
TRUE,
SUMIFS(PremRes!$G$8:$G$208,PremRes!$B$8:$B$208,"level_"&amp;$G73,PremRes!$C$8:$C$208,$H73,PremRes!$F$8:$F$208,$I73,PremRes!$D$8:$D$208,T$12))</f>
        <v>134008.24551120913</v>
      </c>
      <c r="U73" s="13" cm="1">
        <f t="array" ref="U73">_xlfn.IFS($G73="__overall__",
SUMIFS(PremRes!$G$8:$G$208,PremRes!$B$8:$B$208,$G73,PremRes!$C$8:$C$208,$H73,PremRes!$F$8:$F$208,$I73,PremRes!$D$8:$D$208,U$12),
TRUE,
SUMIFS(PremRes!$G$8:$G$208,PremRes!$B$8:$B$208,"level_"&amp;$G73,PremRes!$C$8:$C$208,$H73,PremRes!$F$8:$F$208,$I73,PremRes!$D$8:$D$208,U$12))</f>
        <v>49953.403941628756</v>
      </c>
      <c r="V73" s="13" cm="1">
        <f t="array" ref="V73">_xlfn.IFS($G73="__overall__",
SUMIFS(PremRes!$G$8:$G$208,PremRes!$B$8:$B$208,$G73,PremRes!$C$8:$C$208,$H73,PremRes!$F$8:$F$208,$I73,PremRes!$D$8:$D$208,V$12),
TRUE,
SUMIFS(PremRes!$G$8:$G$208,PremRes!$B$8:$B$208,"level_"&amp;$G73,PremRes!$C$8:$C$208,$H73,PremRes!$F$8:$F$208,$I73,PremRes!$D$8:$D$208,V$12))</f>
        <v>164858.21236536</v>
      </c>
      <c r="X73" s="100">
        <f t="shared" si="5"/>
        <v>-4.6566128730773926E-10</v>
      </c>
      <c r="Y73" s="100">
        <f t="shared" si="3"/>
        <v>0</v>
      </c>
      <c r="Z73" s="100">
        <f t="shared" si="4"/>
        <v>-9.3132257461547852E-10</v>
      </c>
    </row>
    <row r="74" spans="6:26">
      <c r="F74" s="4">
        <v>61</v>
      </c>
      <c r="G74" s="4">
        <v>2</v>
      </c>
      <c r="H74" s="4" t="str">
        <v>western cape</v>
      </c>
      <c r="I74" s="4" t="str">
        <v>company_d</v>
      </c>
      <c r="K74" s="13">
        <v>61</v>
      </c>
      <c r="L74" s="13">
        <v>2526574.5207635895</v>
      </c>
      <c r="M74" s="13">
        <v>1358090.1232993316</v>
      </c>
      <c r="N74" s="13">
        <v>3419146.1078602504</v>
      </c>
      <c r="O74" s="10"/>
      <c r="P74" s="13">
        <f t="shared" si="0"/>
        <v>0</v>
      </c>
      <c r="Q74" s="13">
        <f t="shared" si="6"/>
        <v>0</v>
      </c>
      <c r="R74" s="13">
        <f t="shared" si="2"/>
        <v>0</v>
      </c>
      <c r="S74" s="11"/>
      <c r="T74" s="13" cm="1">
        <f t="array" ref="T74">_xlfn.IFS($G74="__overall__",
SUMIFS(PremRes!$G$8:$G$208,PremRes!$B$8:$B$208,$G74,PremRes!$C$8:$C$208,$H74,PremRes!$F$8:$F$208,$I74,PremRes!$D$8:$D$208,T$12),
TRUE,
SUMIFS(PremRes!$G$8:$G$208,PremRes!$B$8:$B$208,"level_"&amp;$G74,PremRes!$C$8:$C$208,$H74,PremRes!$F$8:$F$208,$I74,PremRes!$D$8:$D$208,T$12))</f>
        <v>0</v>
      </c>
      <c r="U74" s="13" cm="1">
        <f t="array" ref="U74">_xlfn.IFS($G74="__overall__",
SUMIFS(PremRes!$G$8:$G$208,PremRes!$B$8:$B$208,$G74,PremRes!$C$8:$C$208,$H74,PremRes!$F$8:$F$208,$I74,PremRes!$D$8:$D$208,U$12),
TRUE,
SUMIFS(PremRes!$G$8:$G$208,PremRes!$B$8:$B$208,"level_"&amp;$G74,PremRes!$C$8:$C$208,$H74,PremRes!$F$8:$F$208,$I74,PremRes!$D$8:$D$208,U$12))</f>
        <v>0</v>
      </c>
      <c r="V74" s="13" cm="1">
        <f t="array" ref="V74">_xlfn.IFS($G74="__overall__",
SUMIFS(PremRes!$G$8:$G$208,PremRes!$B$8:$B$208,$G74,PremRes!$C$8:$C$208,$H74,PremRes!$F$8:$F$208,$I74,PremRes!$D$8:$D$208,V$12),
TRUE,
SUMIFS(PremRes!$G$8:$G$208,PremRes!$B$8:$B$208,"level_"&amp;$G74,PremRes!$C$8:$C$208,$H74,PremRes!$F$8:$F$208,$I74,PremRes!$D$8:$D$208,V$12))</f>
        <v>0</v>
      </c>
      <c r="X74" s="100">
        <f t="shared" si="5"/>
        <v>0</v>
      </c>
      <c r="Y74" s="100">
        <f t="shared" si="3"/>
        <v>0</v>
      </c>
      <c r="Z74" s="100">
        <f t="shared" si="4"/>
        <v>0</v>
      </c>
    </row>
    <row r="75" spans="6:26">
      <c r="F75" s="4">
        <v>62</v>
      </c>
      <c r="G75" s="4">
        <v>2</v>
      </c>
      <c r="H75" s="4" t="str">
        <v>western cape</v>
      </c>
      <c r="I75" s="4" t="str">
        <v>company_e</v>
      </c>
      <c r="K75" s="13">
        <v>62</v>
      </c>
      <c r="L75" s="13">
        <v>2526574.5207635895</v>
      </c>
      <c r="M75" s="13">
        <v>1358090.1232993316</v>
      </c>
      <c r="N75" s="13">
        <v>3419146.1078602504</v>
      </c>
      <c r="O75" s="10"/>
      <c r="P75" s="13">
        <f t="shared" si="0"/>
        <v>0</v>
      </c>
      <c r="Q75" s="13">
        <f t="shared" si="6"/>
        <v>0</v>
      </c>
      <c r="R75" s="13">
        <f t="shared" si="2"/>
        <v>0</v>
      </c>
      <c r="S75" s="11"/>
      <c r="T75" s="13" cm="1">
        <f t="array" ref="T75">_xlfn.IFS($G75="__overall__",
SUMIFS(PremRes!$G$8:$G$208,PremRes!$B$8:$B$208,$G75,PremRes!$C$8:$C$208,$H75,PremRes!$F$8:$F$208,$I75,PremRes!$D$8:$D$208,T$12),
TRUE,
SUMIFS(PremRes!$G$8:$G$208,PremRes!$B$8:$B$208,"level_"&amp;$G75,PremRes!$C$8:$C$208,$H75,PremRes!$F$8:$F$208,$I75,PremRes!$D$8:$D$208,T$12))</f>
        <v>0</v>
      </c>
      <c r="U75" s="13" cm="1">
        <f t="array" ref="U75">_xlfn.IFS($G75="__overall__",
SUMIFS(PremRes!$G$8:$G$208,PremRes!$B$8:$B$208,$G75,PremRes!$C$8:$C$208,$H75,PremRes!$F$8:$F$208,$I75,PremRes!$D$8:$D$208,U$12),
TRUE,
SUMIFS(PremRes!$G$8:$G$208,PremRes!$B$8:$B$208,"level_"&amp;$G75,PremRes!$C$8:$C$208,$H75,PremRes!$F$8:$F$208,$I75,PremRes!$D$8:$D$208,U$12))</f>
        <v>0</v>
      </c>
      <c r="V75" s="13" cm="1">
        <f t="array" ref="V75">_xlfn.IFS($G75="__overall__",
SUMIFS(PremRes!$G$8:$G$208,PremRes!$B$8:$B$208,$G75,PremRes!$C$8:$C$208,$H75,PremRes!$F$8:$F$208,$I75,PremRes!$D$8:$D$208,V$12),
TRUE,
SUMIFS(PremRes!$G$8:$G$208,PremRes!$B$8:$B$208,"level_"&amp;$G75,PremRes!$C$8:$C$208,$H75,PremRes!$F$8:$F$208,$I75,PremRes!$D$8:$D$208,V$12))</f>
        <v>0</v>
      </c>
      <c r="X75" s="100">
        <f t="shared" si="5"/>
        <v>0</v>
      </c>
      <c r="Y75" s="100">
        <f t="shared" si="3"/>
        <v>0</v>
      </c>
      <c r="Z75" s="100">
        <f t="shared" si="4"/>
        <v>0</v>
      </c>
    </row>
    <row r="76" spans="6:26">
      <c r="F76" s="4">
        <v>63</v>
      </c>
      <c r="G76" s="4">
        <v>2</v>
      </c>
      <c r="H76" s="4" t="str">
        <v>western cape</v>
      </c>
      <c r="I76" s="4" t="str">
        <v>company_g</v>
      </c>
      <c r="K76" s="13">
        <v>63</v>
      </c>
      <c r="L76" s="13">
        <v>2526574.5207635895</v>
      </c>
      <c r="M76" s="13">
        <v>1358090.1232993316</v>
      </c>
      <c r="N76" s="13">
        <v>3419146.1078602504</v>
      </c>
      <c r="O76" s="10"/>
      <c r="P76" s="13">
        <f t="shared" si="0"/>
        <v>0</v>
      </c>
      <c r="Q76" s="13">
        <f t="shared" si="6"/>
        <v>0</v>
      </c>
      <c r="R76" s="13">
        <f t="shared" si="2"/>
        <v>0</v>
      </c>
      <c r="S76" s="11"/>
      <c r="T76" s="13" cm="1">
        <f t="array" ref="T76">_xlfn.IFS($G76="__overall__",
SUMIFS(PremRes!$G$8:$G$208,PremRes!$B$8:$B$208,$G76,PremRes!$C$8:$C$208,$H76,PremRes!$F$8:$F$208,$I76,PremRes!$D$8:$D$208,T$12),
TRUE,
SUMIFS(PremRes!$G$8:$G$208,PremRes!$B$8:$B$208,"level_"&amp;$G76,PremRes!$C$8:$C$208,$H76,PremRes!$F$8:$F$208,$I76,PremRes!$D$8:$D$208,T$12))</f>
        <v>0</v>
      </c>
      <c r="U76" s="13" cm="1">
        <f t="array" ref="U76">_xlfn.IFS($G76="__overall__",
SUMIFS(PremRes!$G$8:$G$208,PremRes!$B$8:$B$208,$G76,PremRes!$C$8:$C$208,$H76,PremRes!$F$8:$F$208,$I76,PremRes!$D$8:$D$208,U$12),
TRUE,
SUMIFS(PremRes!$G$8:$G$208,PremRes!$B$8:$B$208,"level_"&amp;$G76,PremRes!$C$8:$C$208,$H76,PremRes!$F$8:$F$208,$I76,PremRes!$D$8:$D$208,U$12))</f>
        <v>0</v>
      </c>
      <c r="V76" s="13" cm="1">
        <f t="array" ref="V76">_xlfn.IFS($G76="__overall__",
SUMIFS(PremRes!$G$8:$G$208,PremRes!$B$8:$B$208,$G76,PremRes!$C$8:$C$208,$H76,PremRes!$F$8:$F$208,$I76,PremRes!$D$8:$D$208,V$12),
TRUE,
SUMIFS(PremRes!$G$8:$G$208,PremRes!$B$8:$B$208,"level_"&amp;$G76,PremRes!$C$8:$C$208,$H76,PremRes!$F$8:$F$208,$I76,PremRes!$D$8:$D$208,V$12))</f>
        <v>0</v>
      </c>
      <c r="X76" s="100">
        <f t="shared" si="5"/>
        <v>0</v>
      </c>
      <c r="Y76" s="100">
        <f t="shared" si="3"/>
        <v>0</v>
      </c>
      <c r="Z76" s="100">
        <f t="shared" si="4"/>
        <v>0</v>
      </c>
    </row>
    <row r="77" spans="6:26">
      <c r="F77" s="4">
        <v>64</v>
      </c>
      <c r="G77" s="4">
        <v>2</v>
      </c>
      <c r="H77" s="4" t="str">
        <v>limpopo</v>
      </c>
      <c r="I77" s="4" t="str">
        <v>gross charge</v>
      </c>
      <c r="K77" s="13">
        <v>64</v>
      </c>
      <c r="L77" s="13">
        <v>5039656.4603532217</v>
      </c>
      <c r="M77" s="13">
        <v>1720299.7698258436</v>
      </c>
      <c r="N77" s="13">
        <v>6083749.9331477508</v>
      </c>
      <c r="O77" s="10"/>
      <c r="P77" s="13">
        <f t="shared" si="0"/>
        <v>5039656.4603532217</v>
      </c>
      <c r="Q77" s="13">
        <f t="shared" si="6"/>
        <v>1720299.7698258436</v>
      </c>
      <c r="R77" s="13">
        <f t="shared" si="2"/>
        <v>6083749.9331477508</v>
      </c>
      <c r="S77" s="11"/>
      <c r="T77" s="13" cm="1">
        <f t="array" ref="T77">_xlfn.IFS($G77="__overall__",
SUMIFS(PremRes!$G$8:$G$208,PremRes!$B$8:$B$208,$G77,PremRes!$C$8:$C$208,$H77,PremRes!$F$8:$F$208,$I77,PremRes!$D$8:$D$208,T$12),
TRUE,
SUMIFS(PremRes!$G$8:$G$208,PremRes!$B$8:$B$208,"level_"&amp;$G77,PremRes!$C$8:$C$208,$H77,PremRes!$F$8:$F$208,$I77,PremRes!$D$8:$D$208,T$12))</f>
        <v>5039656.4603532217</v>
      </c>
      <c r="U77" s="13" cm="1">
        <f t="array" ref="U77">_xlfn.IFS($G77="__overall__",
SUMIFS(PremRes!$G$8:$G$208,PremRes!$B$8:$B$208,$G77,PremRes!$C$8:$C$208,$H77,PremRes!$F$8:$F$208,$I77,PremRes!$D$8:$D$208,U$12),
TRUE,
SUMIFS(PremRes!$G$8:$G$208,PremRes!$B$8:$B$208,"level_"&amp;$G77,PremRes!$C$8:$C$208,$H77,PremRes!$F$8:$F$208,$I77,PremRes!$D$8:$D$208,U$12))</f>
        <v>1720299.7698258434</v>
      </c>
      <c r="V77" s="13" cm="1">
        <f t="array" ref="V77">_xlfn.IFS($G77="__overall__",
SUMIFS(PremRes!$G$8:$G$208,PremRes!$B$8:$B$208,$G77,PremRes!$C$8:$C$208,$H77,PremRes!$F$8:$F$208,$I77,PremRes!$D$8:$D$208,V$12),
TRUE,
SUMIFS(PremRes!$G$8:$G$208,PremRes!$B$8:$B$208,"level_"&amp;$G77,PremRes!$C$8:$C$208,$H77,PremRes!$F$8:$F$208,$I77,PremRes!$D$8:$D$208,V$12))</f>
        <v>6083749.9331477517</v>
      </c>
      <c r="X77" s="100">
        <f t="shared" si="5"/>
        <v>0</v>
      </c>
      <c r="Y77" s="100">
        <f t="shared" si="3"/>
        <v>0</v>
      </c>
      <c r="Z77" s="100">
        <f t="shared" si="4"/>
        <v>0</v>
      </c>
    </row>
    <row r="78" spans="6:26">
      <c r="F78" s="4">
        <v>65</v>
      </c>
      <c r="G78" s="4">
        <v>2</v>
      </c>
      <c r="H78" s="4" t="str">
        <v>limpopo</v>
      </c>
      <c r="I78" s="4" t="str">
        <v>net charge</v>
      </c>
      <c r="K78" s="13">
        <v>65</v>
      </c>
      <c r="L78" s="13">
        <v>4688778.0248029083</v>
      </c>
      <c r="M78" s="13">
        <v>1585929.9032224701</v>
      </c>
      <c r="N78" s="13">
        <v>5649953.593754949</v>
      </c>
      <c r="O78" s="10"/>
      <c r="P78" s="13">
        <f t="shared" ref="P78:P130" si="7">IF(OR($I78="gross charge",$I78="net charge",$I78="calculated net charge"),L78,L78-SUMIFS(L$14:L$130,$G$14:$G$130,$G78,$H$14:$H$130,$H78,$I$14:$I$130,"calculated net charge"))</f>
        <v>4688778.0248029083</v>
      </c>
      <c r="Q78" s="13">
        <f t="shared" si="6"/>
        <v>1585929.9032224701</v>
      </c>
      <c r="R78" s="13">
        <f t="shared" ref="R78:R130" si="8">IF(OR($I78="gross charge",$I78="net charge",$I78="calculated net charge"),N78,N78-SUMIFS(N$14:N$130,$G$14:$G$130,$G78,$H$14:$H$130,$H78,$I$14:$I$130,"calculated net charge"))</f>
        <v>5649953.593754949</v>
      </c>
      <c r="S78" s="11"/>
      <c r="T78" s="13" cm="1">
        <f t="array" ref="T78">_xlfn.IFS($G78="__overall__",
SUMIFS(PremRes!$G$8:$G$208,PremRes!$B$8:$B$208,$G78,PremRes!$C$8:$C$208,$H78,PremRes!$F$8:$F$208,$I78,PremRes!$D$8:$D$208,T$12),
TRUE,
SUMIFS(PremRes!$G$8:$G$208,PremRes!$B$8:$B$208,"level_"&amp;$G78,PremRes!$C$8:$C$208,$H78,PremRes!$F$8:$F$208,$I78,PremRes!$D$8:$D$208,T$12))</f>
        <v>4688778.0248029083</v>
      </c>
      <c r="U78" s="13" cm="1">
        <f t="array" ref="U78">_xlfn.IFS($G78="__overall__",
SUMIFS(PremRes!$G$8:$G$208,PremRes!$B$8:$B$208,$G78,PremRes!$C$8:$C$208,$H78,PremRes!$F$8:$F$208,$I78,PremRes!$D$8:$D$208,U$12),
TRUE,
SUMIFS(PremRes!$G$8:$G$208,PremRes!$B$8:$B$208,"level_"&amp;$G78,PremRes!$C$8:$C$208,$H78,PremRes!$F$8:$F$208,$I78,PremRes!$D$8:$D$208,U$12))</f>
        <v>1585929.9032224701</v>
      </c>
      <c r="V78" s="13" cm="1">
        <f t="array" ref="V78">_xlfn.IFS($G78="__overall__",
SUMIFS(PremRes!$G$8:$G$208,PremRes!$B$8:$B$208,$G78,PremRes!$C$8:$C$208,$H78,PremRes!$F$8:$F$208,$I78,PremRes!$D$8:$D$208,V$12),
TRUE,
SUMIFS(PremRes!$G$8:$G$208,PremRes!$B$8:$B$208,"level_"&amp;$G78,PremRes!$C$8:$C$208,$H78,PremRes!$F$8:$F$208,$I78,PremRes!$D$8:$D$208,V$12))</f>
        <v>5649953.593754949</v>
      </c>
      <c r="X78" s="100">
        <f t="shared" si="5"/>
        <v>0</v>
      </c>
      <c r="Y78" s="100">
        <f t="shared" ref="Y78:Y130" si="9">Q78-U78</f>
        <v>0</v>
      </c>
      <c r="Z78" s="100">
        <f t="shared" ref="Z78:Z130" si="10">R78-V78</f>
        <v>0</v>
      </c>
    </row>
    <row r="79" spans="6:26">
      <c r="F79" s="4">
        <v>66</v>
      </c>
      <c r="G79" s="4">
        <v>2</v>
      </c>
      <c r="H79" s="4" t="str">
        <v>limpopo</v>
      </c>
      <c r="I79" s="4" t="str">
        <v>calculated net charge</v>
      </c>
      <c r="K79" s="13">
        <v>66</v>
      </c>
      <c r="L79" s="13">
        <v>4711861.4385210983</v>
      </c>
      <c r="M79" s="13">
        <v>1594785.1947030118</v>
      </c>
      <c r="N79" s="13">
        <v>5678502.2014692333</v>
      </c>
      <c r="O79" s="10"/>
      <c r="P79" s="13">
        <f t="shared" si="7"/>
        <v>4711861.4385210983</v>
      </c>
      <c r="Q79" s="13">
        <f t="shared" si="6"/>
        <v>1594785.1947030118</v>
      </c>
      <c r="R79" s="13">
        <f t="shared" si="8"/>
        <v>5678502.2014692333</v>
      </c>
      <c r="S79" s="11"/>
      <c r="T79" s="13" cm="1">
        <f t="array" ref="T79">_xlfn.IFS($G79="__overall__",
SUMIFS(PremRes!$G$8:$G$208,PremRes!$B$8:$B$208,$G79,PremRes!$C$8:$C$208,$H79,PremRes!$F$8:$F$208,$I79,PremRes!$D$8:$D$208,T$12),
TRUE,
SUMIFS(PremRes!$G$8:$G$208,PremRes!$B$8:$B$208,"level_"&amp;$G79,PremRes!$C$8:$C$208,$H79,PremRes!$F$8:$F$208,$I79,PremRes!$D$8:$D$208,T$12))</f>
        <v>4711861.4385210993</v>
      </c>
      <c r="U79" s="13" cm="1">
        <f t="array" ref="U79">_xlfn.IFS($G79="__overall__",
SUMIFS(PremRes!$G$8:$G$208,PremRes!$B$8:$B$208,$G79,PremRes!$C$8:$C$208,$H79,PremRes!$F$8:$F$208,$I79,PremRes!$D$8:$D$208,U$12),
TRUE,
SUMIFS(PremRes!$G$8:$G$208,PremRes!$B$8:$B$208,"level_"&amp;$G79,PremRes!$C$8:$C$208,$H79,PremRes!$F$8:$F$208,$I79,PremRes!$D$8:$D$208,U$12))</f>
        <v>1594785.1947030118</v>
      </c>
      <c r="V79" s="13" cm="1">
        <f t="array" ref="V79">_xlfn.IFS($G79="__overall__",
SUMIFS(PremRes!$G$8:$G$208,PremRes!$B$8:$B$208,$G79,PremRes!$C$8:$C$208,$H79,PremRes!$F$8:$F$208,$I79,PremRes!$D$8:$D$208,V$12),
TRUE,
SUMIFS(PremRes!$G$8:$G$208,PremRes!$B$8:$B$208,"level_"&amp;$G79,PremRes!$C$8:$C$208,$H79,PremRes!$F$8:$F$208,$I79,PremRes!$D$8:$D$208,V$12))</f>
        <v>5678502.2014692333</v>
      </c>
      <c r="X79" s="100">
        <f t="shared" ref="X79:X130" si="11">P79-T79</f>
        <v>0</v>
      </c>
      <c r="Y79" s="100">
        <f t="shared" si="9"/>
        <v>0</v>
      </c>
      <c r="Z79" s="100">
        <f t="shared" si="10"/>
        <v>0</v>
      </c>
    </row>
    <row r="80" spans="6:26">
      <c r="F80" s="4">
        <v>67</v>
      </c>
      <c r="G80" s="4">
        <v>2</v>
      </c>
      <c r="H80" s="4" t="str">
        <v>limpopo</v>
      </c>
      <c r="I80" s="4" t="str">
        <v>company_a</v>
      </c>
      <c r="K80" s="13">
        <v>67</v>
      </c>
      <c r="L80" s="13">
        <v>4711861.4385210983</v>
      </c>
      <c r="M80" s="13">
        <v>1594785.1947030118</v>
      </c>
      <c r="N80" s="13">
        <v>5678502.2014692333</v>
      </c>
      <c r="O80" s="10"/>
      <c r="P80" s="13">
        <f t="shared" si="7"/>
        <v>0</v>
      </c>
      <c r="Q80" s="13">
        <f t="shared" si="6"/>
        <v>0</v>
      </c>
      <c r="R80" s="13">
        <f t="shared" si="8"/>
        <v>0</v>
      </c>
      <c r="S80" s="11"/>
      <c r="T80" s="13" cm="1">
        <f t="array" ref="T80">_xlfn.IFS($G80="__overall__",
SUMIFS(PremRes!$G$8:$G$208,PremRes!$B$8:$B$208,$G80,PremRes!$C$8:$C$208,$H80,PremRes!$F$8:$F$208,$I80,PremRes!$D$8:$D$208,T$12),
TRUE,
SUMIFS(PremRes!$G$8:$G$208,PremRes!$B$8:$B$208,"level_"&amp;$G80,PremRes!$C$8:$C$208,$H80,PremRes!$F$8:$F$208,$I80,PremRes!$D$8:$D$208,T$12))</f>
        <v>0</v>
      </c>
      <c r="U80" s="13" cm="1">
        <f t="array" ref="U80">_xlfn.IFS($G80="__overall__",
SUMIFS(PremRes!$G$8:$G$208,PremRes!$B$8:$B$208,$G80,PremRes!$C$8:$C$208,$H80,PremRes!$F$8:$F$208,$I80,PremRes!$D$8:$D$208,U$12),
TRUE,
SUMIFS(PremRes!$G$8:$G$208,PremRes!$B$8:$B$208,"level_"&amp;$G80,PremRes!$C$8:$C$208,$H80,PremRes!$F$8:$F$208,$I80,PremRes!$D$8:$D$208,U$12))</f>
        <v>0</v>
      </c>
      <c r="V80" s="13" cm="1">
        <f t="array" ref="V80">_xlfn.IFS($G80="__overall__",
SUMIFS(PremRes!$G$8:$G$208,PremRes!$B$8:$B$208,$G80,PremRes!$C$8:$C$208,$H80,PremRes!$F$8:$F$208,$I80,PremRes!$D$8:$D$208,V$12),
TRUE,
SUMIFS(PremRes!$G$8:$G$208,PremRes!$B$8:$B$208,"level_"&amp;$G80,PremRes!$C$8:$C$208,$H80,PremRes!$F$8:$F$208,$I80,PremRes!$D$8:$D$208,V$12))</f>
        <v>0</v>
      </c>
      <c r="X80" s="100">
        <f t="shared" si="11"/>
        <v>0</v>
      </c>
      <c r="Y80" s="100">
        <f t="shared" si="9"/>
        <v>0</v>
      </c>
      <c r="Z80" s="100">
        <f t="shared" si="10"/>
        <v>0</v>
      </c>
    </row>
    <row r="81" spans="6:26">
      <c r="F81" s="4">
        <v>68</v>
      </c>
      <c r="G81" s="4">
        <v>2</v>
      </c>
      <c r="H81" s="4" t="str">
        <v>limpopo</v>
      </c>
      <c r="I81" s="4" t="str">
        <v>company_b</v>
      </c>
      <c r="K81" s="13">
        <v>68</v>
      </c>
      <c r="L81" s="13">
        <v>4827968.2562308498</v>
      </c>
      <c r="M81" s="13">
        <v>1639292.510593208</v>
      </c>
      <c r="N81" s="13">
        <v>5822075.9823801769</v>
      </c>
      <c r="O81" s="10"/>
      <c r="P81" s="13">
        <f t="shared" si="7"/>
        <v>116106.81770975143</v>
      </c>
      <c r="Q81" s="13">
        <f t="shared" si="6"/>
        <v>44507.315890196245</v>
      </c>
      <c r="R81" s="13">
        <f t="shared" si="8"/>
        <v>143573.78091094363</v>
      </c>
      <c r="S81" s="11"/>
      <c r="T81" s="13" cm="1">
        <f t="array" ref="T81">_xlfn.IFS($G81="__overall__",
SUMIFS(PremRes!$G$8:$G$208,PremRes!$B$8:$B$208,$G81,PremRes!$C$8:$C$208,$H81,PremRes!$F$8:$F$208,$I81,PremRes!$D$8:$D$208,T$12),
TRUE,
SUMIFS(PremRes!$G$8:$G$208,PremRes!$B$8:$B$208,"level_"&amp;$G81,PremRes!$C$8:$C$208,$H81,PremRes!$F$8:$F$208,$I81,PremRes!$D$8:$D$208,T$12))</f>
        <v>116106.8177097505</v>
      </c>
      <c r="U81" s="13" cm="1">
        <f t="array" ref="U81">_xlfn.IFS($G81="__overall__",
SUMIFS(PremRes!$G$8:$G$208,PremRes!$B$8:$B$208,$G81,PremRes!$C$8:$C$208,$H81,PremRes!$F$8:$F$208,$I81,PremRes!$D$8:$D$208,U$12),
TRUE,
SUMIFS(PremRes!$G$8:$G$208,PremRes!$B$8:$B$208,"level_"&amp;$G81,PremRes!$C$8:$C$208,$H81,PremRes!$F$8:$F$208,$I81,PremRes!$D$8:$D$208,U$12))</f>
        <v>44507.315890196478</v>
      </c>
      <c r="V81" s="13" cm="1">
        <f t="array" ref="V81">_xlfn.IFS($G81="__overall__",
SUMIFS(PremRes!$G$8:$G$208,PremRes!$B$8:$B$208,$G81,PremRes!$C$8:$C$208,$H81,PremRes!$F$8:$F$208,$I81,PremRes!$D$8:$D$208,V$12),
TRUE,
SUMIFS(PremRes!$G$8:$G$208,PremRes!$B$8:$B$208,"level_"&amp;$G81,PremRes!$C$8:$C$208,$H81,PremRes!$F$8:$F$208,$I81,PremRes!$D$8:$D$208,V$12))</f>
        <v>143573.78091094363</v>
      </c>
      <c r="X81" s="100">
        <f t="shared" si="11"/>
        <v>9.3132257461547852E-10</v>
      </c>
      <c r="Y81" s="100">
        <f t="shared" si="9"/>
        <v>-2.3283064365386963E-10</v>
      </c>
      <c r="Z81" s="100">
        <f t="shared" si="10"/>
        <v>0</v>
      </c>
    </row>
    <row r="82" spans="6:26">
      <c r="F82" s="4">
        <v>69</v>
      </c>
      <c r="G82" s="4">
        <v>2</v>
      </c>
      <c r="H82" s="4" t="str">
        <v>limpopo</v>
      </c>
      <c r="I82" s="4" t="str">
        <v>company_c</v>
      </c>
      <c r="K82" s="13">
        <v>69</v>
      </c>
      <c r="L82" s="13">
        <v>4921642.2988865497</v>
      </c>
      <c r="M82" s="13">
        <v>1675160.6536451844</v>
      </c>
      <c r="N82" s="13">
        <v>5937883.6201633001</v>
      </c>
      <c r="O82" s="10"/>
      <c r="P82" s="13">
        <f t="shared" si="7"/>
        <v>209780.86036545131</v>
      </c>
      <c r="Q82" s="13">
        <f t="shared" ref="Q82:Q130" si="12">IF(OR($I82="gross charge",$I82="net charge",$I82="calculated net charge"),M82,M82-SUMIFS(M$14:M$130,$G$14:$G$130,$G82,$H$14:$H$130,$H82,$I$14:$I$130,"calculated net charge"))</f>
        <v>80375.458942172583</v>
      </c>
      <c r="R82" s="13">
        <f t="shared" si="8"/>
        <v>259381.41869406682</v>
      </c>
      <c r="S82" s="11"/>
      <c r="T82" s="13" cm="1">
        <f t="array" ref="T82">_xlfn.IFS($G82="__overall__",
SUMIFS(PremRes!$G$8:$G$208,PremRes!$B$8:$B$208,$G82,PremRes!$C$8:$C$208,$H82,PremRes!$F$8:$F$208,$I82,PremRes!$D$8:$D$208,T$12),
TRUE,
SUMIFS(PremRes!$G$8:$G$208,PremRes!$B$8:$B$208,"level_"&amp;$G82,PremRes!$C$8:$C$208,$H82,PremRes!$F$8:$F$208,$I82,PremRes!$D$8:$D$208,T$12))</f>
        <v>209780.86036545038</v>
      </c>
      <c r="U82" s="13" cm="1">
        <f t="array" ref="U82">_xlfn.IFS($G82="__overall__",
SUMIFS(PremRes!$G$8:$G$208,PremRes!$B$8:$B$208,$G82,PremRes!$C$8:$C$208,$H82,PremRes!$F$8:$F$208,$I82,PremRes!$D$8:$D$208,U$12),
TRUE,
SUMIFS(PremRes!$G$8:$G$208,PremRes!$B$8:$B$208,"level_"&amp;$G82,PremRes!$C$8:$C$208,$H82,PremRes!$F$8:$F$208,$I82,PremRes!$D$8:$D$208,U$12))</f>
        <v>80375.458942173049</v>
      </c>
      <c r="V82" s="13" cm="1">
        <f t="array" ref="V82">_xlfn.IFS($G82="__overall__",
SUMIFS(PremRes!$G$8:$G$208,PremRes!$B$8:$B$208,$G82,PremRes!$C$8:$C$208,$H82,PremRes!$F$8:$F$208,$I82,PremRes!$D$8:$D$208,V$12),
TRUE,
SUMIFS(PremRes!$G$8:$G$208,PremRes!$B$8:$B$208,"level_"&amp;$G82,PremRes!$C$8:$C$208,$H82,PremRes!$F$8:$F$208,$I82,PremRes!$D$8:$D$208,V$12))</f>
        <v>259381.41869406775</v>
      </c>
      <c r="X82" s="100">
        <f t="shared" si="11"/>
        <v>9.3132257461547852E-10</v>
      </c>
      <c r="Y82" s="100">
        <f t="shared" si="9"/>
        <v>-4.6566128730773926E-10</v>
      </c>
      <c r="Z82" s="100">
        <f t="shared" si="10"/>
        <v>-9.3132257461547852E-10</v>
      </c>
    </row>
    <row r="83" spans="6:26">
      <c r="F83" s="4">
        <v>70</v>
      </c>
      <c r="G83" s="4">
        <v>2</v>
      </c>
      <c r="H83" s="4" t="str">
        <v>limpopo</v>
      </c>
      <c r="I83" s="4" t="str">
        <v>company_d</v>
      </c>
      <c r="K83" s="13">
        <v>70</v>
      </c>
      <c r="L83" s="13">
        <v>4711861.4385210983</v>
      </c>
      <c r="M83" s="13">
        <v>1594785.1947030118</v>
      </c>
      <c r="N83" s="13">
        <v>5678502.2014692333</v>
      </c>
      <c r="O83" s="10"/>
      <c r="P83" s="13">
        <f t="shared" si="7"/>
        <v>0</v>
      </c>
      <c r="Q83" s="13">
        <f t="shared" si="12"/>
        <v>0</v>
      </c>
      <c r="R83" s="13">
        <f t="shared" si="8"/>
        <v>0</v>
      </c>
      <c r="S83" s="11"/>
      <c r="T83" s="13" cm="1">
        <f t="array" ref="T83">_xlfn.IFS($G83="__overall__",
SUMIFS(PremRes!$G$8:$G$208,PremRes!$B$8:$B$208,$G83,PremRes!$C$8:$C$208,$H83,PremRes!$F$8:$F$208,$I83,PremRes!$D$8:$D$208,T$12),
TRUE,
SUMIFS(PremRes!$G$8:$G$208,PremRes!$B$8:$B$208,"level_"&amp;$G83,PremRes!$C$8:$C$208,$H83,PremRes!$F$8:$F$208,$I83,PremRes!$D$8:$D$208,T$12))</f>
        <v>0</v>
      </c>
      <c r="U83" s="13" cm="1">
        <f t="array" ref="U83">_xlfn.IFS($G83="__overall__",
SUMIFS(PremRes!$G$8:$G$208,PremRes!$B$8:$B$208,$G83,PremRes!$C$8:$C$208,$H83,PremRes!$F$8:$F$208,$I83,PremRes!$D$8:$D$208,U$12),
TRUE,
SUMIFS(PremRes!$G$8:$G$208,PremRes!$B$8:$B$208,"level_"&amp;$G83,PremRes!$C$8:$C$208,$H83,PremRes!$F$8:$F$208,$I83,PremRes!$D$8:$D$208,U$12))</f>
        <v>0</v>
      </c>
      <c r="V83" s="13" cm="1">
        <f t="array" ref="V83">_xlfn.IFS($G83="__overall__",
SUMIFS(PremRes!$G$8:$G$208,PremRes!$B$8:$B$208,$G83,PremRes!$C$8:$C$208,$H83,PremRes!$F$8:$F$208,$I83,PremRes!$D$8:$D$208,V$12),
TRUE,
SUMIFS(PremRes!$G$8:$G$208,PremRes!$B$8:$B$208,"level_"&amp;$G83,PremRes!$C$8:$C$208,$H83,PremRes!$F$8:$F$208,$I83,PremRes!$D$8:$D$208,V$12))</f>
        <v>0</v>
      </c>
      <c r="X83" s="100">
        <f t="shared" si="11"/>
        <v>0</v>
      </c>
      <c r="Y83" s="100">
        <f t="shared" si="9"/>
        <v>0</v>
      </c>
      <c r="Z83" s="100">
        <f t="shared" si="10"/>
        <v>0</v>
      </c>
    </row>
    <row r="84" spans="6:26">
      <c r="F84" s="4">
        <v>71</v>
      </c>
      <c r="G84" s="4">
        <v>2</v>
      </c>
      <c r="H84" s="4" t="str">
        <v>limpopo</v>
      </c>
      <c r="I84" s="4" t="str">
        <v>company_e</v>
      </c>
      <c r="K84" s="13">
        <v>71</v>
      </c>
      <c r="L84" s="13">
        <v>4711861.4385210983</v>
      </c>
      <c r="M84" s="13">
        <v>1594785.1947030118</v>
      </c>
      <c r="N84" s="13">
        <v>5678502.2014692333</v>
      </c>
      <c r="O84" s="10"/>
      <c r="P84" s="13">
        <f t="shared" si="7"/>
        <v>0</v>
      </c>
      <c r="Q84" s="13">
        <f t="shared" si="12"/>
        <v>0</v>
      </c>
      <c r="R84" s="13">
        <f t="shared" si="8"/>
        <v>0</v>
      </c>
      <c r="S84" s="11"/>
      <c r="T84" s="13" cm="1">
        <f t="array" ref="T84">_xlfn.IFS($G84="__overall__",
SUMIFS(PremRes!$G$8:$G$208,PremRes!$B$8:$B$208,$G84,PremRes!$C$8:$C$208,$H84,PremRes!$F$8:$F$208,$I84,PremRes!$D$8:$D$208,T$12),
TRUE,
SUMIFS(PremRes!$G$8:$G$208,PremRes!$B$8:$B$208,"level_"&amp;$G84,PremRes!$C$8:$C$208,$H84,PremRes!$F$8:$F$208,$I84,PremRes!$D$8:$D$208,T$12))</f>
        <v>0</v>
      </c>
      <c r="U84" s="13" cm="1">
        <f t="array" ref="U84">_xlfn.IFS($G84="__overall__",
SUMIFS(PremRes!$G$8:$G$208,PremRes!$B$8:$B$208,$G84,PremRes!$C$8:$C$208,$H84,PremRes!$F$8:$F$208,$I84,PremRes!$D$8:$D$208,U$12),
TRUE,
SUMIFS(PremRes!$G$8:$G$208,PremRes!$B$8:$B$208,"level_"&amp;$G84,PremRes!$C$8:$C$208,$H84,PremRes!$F$8:$F$208,$I84,PremRes!$D$8:$D$208,U$12))</f>
        <v>0</v>
      </c>
      <c r="V84" s="13" cm="1">
        <f t="array" ref="V84">_xlfn.IFS($G84="__overall__",
SUMIFS(PremRes!$G$8:$G$208,PremRes!$B$8:$B$208,$G84,PremRes!$C$8:$C$208,$H84,PremRes!$F$8:$F$208,$I84,PremRes!$D$8:$D$208,V$12),
TRUE,
SUMIFS(PremRes!$G$8:$G$208,PremRes!$B$8:$B$208,"level_"&amp;$G84,PremRes!$C$8:$C$208,$H84,PremRes!$F$8:$F$208,$I84,PremRes!$D$8:$D$208,V$12))</f>
        <v>0</v>
      </c>
      <c r="X84" s="100">
        <f t="shared" si="11"/>
        <v>0</v>
      </c>
      <c r="Y84" s="100">
        <f t="shared" si="9"/>
        <v>0</v>
      </c>
      <c r="Z84" s="100">
        <f t="shared" si="10"/>
        <v>0</v>
      </c>
    </row>
    <row r="85" spans="6:26">
      <c r="F85" s="4">
        <v>72</v>
      </c>
      <c r="G85" s="4">
        <v>2</v>
      </c>
      <c r="H85" s="4" t="str">
        <v>limpopo</v>
      </c>
      <c r="I85" s="4" t="str">
        <v>company_g</v>
      </c>
      <c r="K85" s="13">
        <v>72</v>
      </c>
      <c r="L85" s="13">
        <v>4711861.4385210983</v>
      </c>
      <c r="M85" s="13">
        <v>1594785.1947030118</v>
      </c>
      <c r="N85" s="13">
        <v>5678502.2014692333</v>
      </c>
      <c r="O85" s="10"/>
      <c r="P85" s="13">
        <f t="shared" si="7"/>
        <v>0</v>
      </c>
      <c r="Q85" s="13">
        <f t="shared" si="12"/>
        <v>0</v>
      </c>
      <c r="R85" s="13">
        <f t="shared" si="8"/>
        <v>0</v>
      </c>
      <c r="S85" s="11"/>
      <c r="T85" s="13" cm="1">
        <f t="array" ref="T85">_xlfn.IFS($G85="__overall__",
SUMIFS(PremRes!$G$8:$G$208,PremRes!$B$8:$B$208,$G85,PremRes!$C$8:$C$208,$H85,PremRes!$F$8:$F$208,$I85,PremRes!$D$8:$D$208,T$12),
TRUE,
SUMIFS(PremRes!$G$8:$G$208,PremRes!$B$8:$B$208,"level_"&amp;$G85,PremRes!$C$8:$C$208,$H85,PremRes!$F$8:$F$208,$I85,PremRes!$D$8:$D$208,T$12))</f>
        <v>0</v>
      </c>
      <c r="U85" s="13" cm="1">
        <f t="array" ref="U85">_xlfn.IFS($G85="__overall__",
SUMIFS(PremRes!$G$8:$G$208,PremRes!$B$8:$B$208,$G85,PremRes!$C$8:$C$208,$H85,PremRes!$F$8:$F$208,$I85,PremRes!$D$8:$D$208,U$12),
TRUE,
SUMIFS(PremRes!$G$8:$G$208,PremRes!$B$8:$B$208,"level_"&amp;$G85,PremRes!$C$8:$C$208,$H85,PremRes!$F$8:$F$208,$I85,PremRes!$D$8:$D$208,U$12))</f>
        <v>0</v>
      </c>
      <c r="V85" s="13" cm="1">
        <f t="array" ref="V85">_xlfn.IFS($G85="__overall__",
SUMIFS(PremRes!$G$8:$G$208,PremRes!$B$8:$B$208,$G85,PremRes!$C$8:$C$208,$H85,PremRes!$F$8:$F$208,$I85,PremRes!$D$8:$D$208,V$12),
TRUE,
SUMIFS(PremRes!$G$8:$G$208,PremRes!$B$8:$B$208,"level_"&amp;$G85,PremRes!$C$8:$C$208,$H85,PremRes!$F$8:$F$208,$I85,PremRes!$D$8:$D$208,V$12))</f>
        <v>0</v>
      </c>
      <c r="X85" s="100">
        <f t="shared" si="11"/>
        <v>0</v>
      </c>
      <c r="Y85" s="100">
        <f t="shared" si="9"/>
        <v>0</v>
      </c>
      <c r="Z85" s="100">
        <f t="shared" si="10"/>
        <v>0</v>
      </c>
    </row>
    <row r="86" spans="6:26">
      <c r="F86" s="4">
        <v>73</v>
      </c>
      <c r="G86" s="4">
        <v>2</v>
      </c>
      <c r="H86" s="4" t="str">
        <v>north west</v>
      </c>
      <c r="I86" s="4" t="str">
        <v>gross charge</v>
      </c>
      <c r="K86" s="13">
        <v>73</v>
      </c>
      <c r="L86" s="13">
        <v>4872830.3613621136</v>
      </c>
      <c r="M86" s="13">
        <v>1685290.9192192103</v>
      </c>
      <c r="N86" s="13">
        <v>5898015.0035073403</v>
      </c>
      <c r="O86" s="10"/>
      <c r="P86" s="13">
        <f t="shared" si="7"/>
        <v>4872830.3613621136</v>
      </c>
      <c r="Q86" s="13">
        <f t="shared" si="12"/>
        <v>1685290.9192192103</v>
      </c>
      <c r="R86" s="13">
        <f t="shared" si="8"/>
        <v>5898015.0035073403</v>
      </c>
      <c r="S86" s="11"/>
      <c r="T86" s="13" cm="1">
        <f t="array" ref="T86">_xlfn.IFS($G86="__overall__",
SUMIFS(PremRes!$G$8:$G$208,PremRes!$B$8:$B$208,$G86,PremRes!$C$8:$C$208,$H86,PremRes!$F$8:$F$208,$I86,PremRes!$D$8:$D$208,T$12),
TRUE,
SUMIFS(PremRes!$G$8:$G$208,PremRes!$B$8:$B$208,"level_"&amp;$G86,PremRes!$C$8:$C$208,$H86,PremRes!$F$8:$F$208,$I86,PremRes!$D$8:$D$208,T$12))</f>
        <v>4872830.3613621136</v>
      </c>
      <c r="U86" s="13" cm="1">
        <f t="array" ref="U86">_xlfn.IFS($G86="__overall__",
SUMIFS(PremRes!$G$8:$G$208,PremRes!$B$8:$B$208,$G86,PremRes!$C$8:$C$208,$H86,PremRes!$F$8:$F$208,$I86,PremRes!$D$8:$D$208,U$12),
TRUE,
SUMIFS(PremRes!$G$8:$G$208,PremRes!$B$8:$B$208,"level_"&amp;$G86,PremRes!$C$8:$C$208,$H86,PremRes!$F$8:$F$208,$I86,PremRes!$D$8:$D$208,U$12))</f>
        <v>1685290.9192192103</v>
      </c>
      <c r="V86" s="13" cm="1">
        <f t="array" ref="V86">_xlfn.IFS($G86="__overall__",
SUMIFS(PremRes!$G$8:$G$208,PremRes!$B$8:$B$208,$G86,PremRes!$C$8:$C$208,$H86,PremRes!$F$8:$F$208,$I86,PremRes!$D$8:$D$208,V$12),
TRUE,
SUMIFS(PremRes!$G$8:$G$208,PremRes!$B$8:$B$208,"level_"&amp;$G86,PremRes!$C$8:$C$208,$H86,PremRes!$F$8:$F$208,$I86,PremRes!$D$8:$D$208,V$12))</f>
        <v>5898015.0035073403</v>
      </c>
      <c r="X86" s="100">
        <f t="shared" si="11"/>
        <v>0</v>
      </c>
      <c r="Y86" s="100">
        <f t="shared" si="9"/>
        <v>0</v>
      </c>
      <c r="Z86" s="100">
        <f t="shared" si="10"/>
        <v>0</v>
      </c>
    </row>
    <row r="87" spans="6:26">
      <c r="F87" s="4">
        <v>74</v>
      </c>
      <c r="G87" s="4">
        <v>2</v>
      </c>
      <c r="H87" s="4" t="str">
        <v>north west</v>
      </c>
      <c r="I87" s="4" t="str">
        <v>net charge</v>
      </c>
      <c r="K87" s="13">
        <v>74</v>
      </c>
      <c r="L87" s="13">
        <v>3946558.5669142846</v>
      </c>
      <c r="M87" s="13">
        <v>1327861.4670349217</v>
      </c>
      <c r="N87" s="13">
        <v>4752711.9028189108</v>
      </c>
      <c r="O87" s="10"/>
      <c r="P87" s="13">
        <f t="shared" si="7"/>
        <v>3946558.5669142846</v>
      </c>
      <c r="Q87" s="13">
        <f t="shared" si="12"/>
        <v>1327861.4670349217</v>
      </c>
      <c r="R87" s="13">
        <f t="shared" si="8"/>
        <v>4752711.9028189108</v>
      </c>
      <c r="S87" s="11"/>
      <c r="T87" s="13" cm="1">
        <f t="array" ref="T87">_xlfn.IFS($G87="__overall__",
SUMIFS(PremRes!$G$8:$G$208,PremRes!$B$8:$B$208,$G87,PremRes!$C$8:$C$208,$H87,PremRes!$F$8:$F$208,$I87,PremRes!$D$8:$D$208,T$12),
TRUE,
SUMIFS(PremRes!$G$8:$G$208,PremRes!$B$8:$B$208,"level_"&amp;$G87,PremRes!$C$8:$C$208,$H87,PremRes!$F$8:$F$208,$I87,PremRes!$D$8:$D$208,T$12))</f>
        <v>3946558.5669142851</v>
      </c>
      <c r="U87" s="13" cm="1">
        <f t="array" ref="U87">_xlfn.IFS($G87="__overall__",
SUMIFS(PremRes!$G$8:$G$208,PremRes!$B$8:$B$208,$G87,PremRes!$C$8:$C$208,$H87,PremRes!$F$8:$F$208,$I87,PremRes!$D$8:$D$208,U$12),
TRUE,
SUMIFS(PremRes!$G$8:$G$208,PremRes!$B$8:$B$208,"level_"&amp;$G87,PremRes!$C$8:$C$208,$H87,PremRes!$F$8:$F$208,$I87,PremRes!$D$8:$D$208,U$12))</f>
        <v>1327861.4670349215</v>
      </c>
      <c r="V87" s="13" cm="1">
        <f t="array" ref="V87">_xlfn.IFS($G87="__overall__",
SUMIFS(PremRes!$G$8:$G$208,PremRes!$B$8:$B$208,$G87,PremRes!$C$8:$C$208,$H87,PremRes!$F$8:$F$208,$I87,PremRes!$D$8:$D$208,V$12),
TRUE,
SUMIFS(PremRes!$G$8:$G$208,PremRes!$B$8:$B$208,"level_"&amp;$G87,PremRes!$C$8:$C$208,$H87,PremRes!$F$8:$F$208,$I87,PremRes!$D$8:$D$208,V$12))</f>
        <v>4752711.9028189108</v>
      </c>
      <c r="X87" s="100">
        <f t="shared" si="11"/>
        <v>0</v>
      </c>
      <c r="Y87" s="100">
        <f t="shared" si="9"/>
        <v>0</v>
      </c>
      <c r="Z87" s="100">
        <f t="shared" si="10"/>
        <v>0</v>
      </c>
    </row>
    <row r="88" spans="6:26">
      <c r="F88" s="4">
        <v>75</v>
      </c>
      <c r="G88" s="4">
        <v>2</v>
      </c>
      <c r="H88" s="4" t="str">
        <v>north west</v>
      </c>
      <c r="I88" s="4" t="str">
        <v>calculated net charge</v>
      </c>
      <c r="K88" s="13">
        <v>75</v>
      </c>
      <c r="L88" s="13">
        <v>4032330.86357853</v>
      </c>
      <c r="M88" s="13">
        <v>1360981.9501292997</v>
      </c>
      <c r="N88" s="13">
        <v>4858871.5530990399</v>
      </c>
      <c r="O88" s="10"/>
      <c r="P88" s="13">
        <f t="shared" si="7"/>
        <v>4032330.86357853</v>
      </c>
      <c r="Q88" s="13">
        <f t="shared" si="12"/>
        <v>1360981.9501292997</v>
      </c>
      <c r="R88" s="13">
        <f t="shared" si="8"/>
        <v>4858871.5530990399</v>
      </c>
      <c r="S88" s="11"/>
      <c r="T88" s="13" cm="1">
        <f t="array" ref="T88">_xlfn.IFS($G88="__overall__",
SUMIFS(PremRes!$G$8:$G$208,PremRes!$B$8:$B$208,$G88,PremRes!$C$8:$C$208,$H88,PremRes!$F$8:$F$208,$I88,PremRes!$D$8:$D$208,T$12),
TRUE,
SUMIFS(PremRes!$G$8:$G$208,PremRes!$B$8:$B$208,"level_"&amp;$G88,PremRes!$C$8:$C$208,$H88,PremRes!$F$8:$F$208,$I88,PremRes!$D$8:$D$208,T$12))</f>
        <v>4032330.86357853</v>
      </c>
      <c r="U88" s="13" cm="1">
        <f t="array" ref="U88">_xlfn.IFS($G88="__overall__",
SUMIFS(PremRes!$G$8:$G$208,PremRes!$B$8:$B$208,$G88,PremRes!$C$8:$C$208,$H88,PremRes!$F$8:$F$208,$I88,PremRes!$D$8:$D$208,U$12),
TRUE,
SUMIFS(PremRes!$G$8:$G$208,PremRes!$B$8:$B$208,"level_"&amp;$G88,PremRes!$C$8:$C$208,$H88,PremRes!$F$8:$F$208,$I88,PremRes!$D$8:$D$208,U$12))</f>
        <v>1360981.9501292994</v>
      </c>
      <c r="V88" s="13" cm="1">
        <f t="array" ref="V88">_xlfn.IFS($G88="__overall__",
SUMIFS(PremRes!$G$8:$G$208,PremRes!$B$8:$B$208,$G88,PremRes!$C$8:$C$208,$H88,PremRes!$F$8:$F$208,$I88,PremRes!$D$8:$D$208,V$12),
TRUE,
SUMIFS(PremRes!$G$8:$G$208,PremRes!$B$8:$B$208,"level_"&amp;$G88,PremRes!$C$8:$C$208,$H88,PremRes!$F$8:$F$208,$I88,PremRes!$D$8:$D$208,V$12))</f>
        <v>4858871.5530990399</v>
      </c>
      <c r="X88" s="100">
        <f t="shared" si="11"/>
        <v>0</v>
      </c>
      <c r="Y88" s="100">
        <f t="shared" si="9"/>
        <v>0</v>
      </c>
      <c r="Z88" s="100">
        <f t="shared" si="10"/>
        <v>0</v>
      </c>
    </row>
    <row r="89" spans="6:26">
      <c r="F89" s="4">
        <v>76</v>
      </c>
      <c r="G89" s="4">
        <v>2</v>
      </c>
      <c r="H89" s="4" t="str">
        <v>north west</v>
      </c>
      <c r="I89" s="4" t="str">
        <v>company_a</v>
      </c>
      <c r="K89" s="13">
        <v>76</v>
      </c>
      <c r="L89" s="13">
        <v>4485390.7090406884</v>
      </c>
      <c r="M89" s="13">
        <v>1536129.7663509136</v>
      </c>
      <c r="N89" s="13">
        <v>5419403.3322576545</v>
      </c>
      <c r="O89" s="10"/>
      <c r="P89" s="13">
        <f t="shared" si="7"/>
        <v>453059.84546215832</v>
      </c>
      <c r="Q89" s="13">
        <f t="shared" si="12"/>
        <v>175147.8162216139</v>
      </c>
      <c r="R89" s="13">
        <f t="shared" si="8"/>
        <v>560531.77915861458</v>
      </c>
      <c r="S89" s="11"/>
      <c r="T89" s="13" cm="1">
        <f t="array" ref="T89">_xlfn.IFS($G89="__overall__",
SUMIFS(PremRes!$G$8:$G$208,PremRes!$B$8:$B$208,$G89,PremRes!$C$8:$C$208,$H89,PremRes!$F$8:$F$208,$I89,PremRes!$D$8:$D$208,T$12),
TRUE,
SUMIFS(PremRes!$G$8:$G$208,PremRes!$B$8:$B$208,"level_"&amp;$G89,PremRes!$C$8:$C$208,$H89,PremRes!$F$8:$F$208,$I89,PremRes!$D$8:$D$208,T$12))</f>
        <v>453059.84546215832</v>
      </c>
      <c r="U89" s="13" cm="1">
        <f t="array" ref="U89">_xlfn.IFS($G89="__overall__",
SUMIFS(PremRes!$G$8:$G$208,PremRes!$B$8:$B$208,$G89,PremRes!$C$8:$C$208,$H89,PremRes!$F$8:$F$208,$I89,PremRes!$D$8:$D$208,U$12),
TRUE,
SUMIFS(PremRes!$G$8:$G$208,PremRes!$B$8:$B$208,"level_"&amp;$G89,PremRes!$C$8:$C$208,$H89,PremRes!$F$8:$F$208,$I89,PremRes!$D$8:$D$208,U$12))</f>
        <v>175147.81622161414</v>
      </c>
      <c r="V89" s="13" cm="1">
        <f t="array" ref="V89">_xlfn.IFS($G89="__overall__",
SUMIFS(PremRes!$G$8:$G$208,PremRes!$B$8:$B$208,$G89,PremRes!$C$8:$C$208,$H89,PremRes!$F$8:$F$208,$I89,PremRes!$D$8:$D$208,V$12),
TRUE,
SUMIFS(PremRes!$G$8:$G$208,PremRes!$B$8:$B$208,"level_"&amp;$G89,PremRes!$C$8:$C$208,$H89,PremRes!$F$8:$F$208,$I89,PremRes!$D$8:$D$208,V$12))</f>
        <v>560531.77915861458</v>
      </c>
      <c r="X89" s="100">
        <f t="shared" si="11"/>
        <v>0</v>
      </c>
      <c r="Y89" s="100">
        <f t="shared" si="9"/>
        <v>-2.3283064365386963E-10</v>
      </c>
      <c r="Z89" s="100">
        <f t="shared" si="10"/>
        <v>0</v>
      </c>
    </row>
    <row r="90" spans="6:26">
      <c r="F90" s="4">
        <v>77</v>
      </c>
      <c r="G90" s="4">
        <v>2</v>
      </c>
      <c r="H90" s="4" t="str">
        <v>north west</v>
      </c>
      <c r="I90" s="4" t="str">
        <v>company_b</v>
      </c>
      <c r="K90" s="13">
        <v>77</v>
      </c>
      <c r="L90" s="13">
        <v>4391706.6383695472</v>
      </c>
      <c r="M90" s="13">
        <v>1499974.7522985856</v>
      </c>
      <c r="N90" s="13">
        <v>5303577.8708244124</v>
      </c>
      <c r="O90" s="10"/>
      <c r="P90" s="13">
        <f t="shared" si="7"/>
        <v>359375.77479101717</v>
      </c>
      <c r="Q90" s="13">
        <f t="shared" si="12"/>
        <v>138992.80216928595</v>
      </c>
      <c r="R90" s="13">
        <f t="shared" si="8"/>
        <v>444706.3177253725</v>
      </c>
      <c r="S90" s="11"/>
      <c r="T90" s="13" cm="1">
        <f t="array" ref="T90">_xlfn.IFS($G90="__overall__",
SUMIFS(PremRes!$G$8:$G$208,PremRes!$B$8:$B$208,$G90,PremRes!$C$8:$C$208,$H90,PremRes!$F$8:$F$208,$I90,PremRes!$D$8:$D$208,T$12),
TRUE,
SUMIFS(PremRes!$G$8:$G$208,PremRes!$B$8:$B$208,"level_"&amp;$G90,PremRes!$C$8:$C$208,$H90,PremRes!$F$8:$F$208,$I90,PremRes!$D$8:$D$208,T$12))</f>
        <v>359375.77479101717</v>
      </c>
      <c r="U90" s="13" cm="1">
        <f t="array" ref="U90">_xlfn.IFS($G90="__overall__",
SUMIFS(PremRes!$G$8:$G$208,PremRes!$B$8:$B$208,$G90,PremRes!$C$8:$C$208,$H90,PremRes!$F$8:$F$208,$I90,PremRes!$D$8:$D$208,U$12),
TRUE,
SUMIFS(PremRes!$G$8:$G$208,PremRes!$B$8:$B$208,"level_"&amp;$G90,PremRes!$C$8:$C$208,$H90,PremRes!$F$8:$F$208,$I90,PremRes!$D$8:$D$208,U$12))</f>
        <v>138992.80216928618</v>
      </c>
      <c r="V90" s="13" cm="1">
        <f t="array" ref="V90">_xlfn.IFS($G90="__overall__",
SUMIFS(PremRes!$G$8:$G$208,PremRes!$B$8:$B$208,$G90,PremRes!$C$8:$C$208,$H90,PremRes!$F$8:$F$208,$I90,PremRes!$D$8:$D$208,V$12),
TRUE,
SUMIFS(PremRes!$G$8:$G$208,PremRes!$B$8:$B$208,"level_"&amp;$G90,PremRes!$C$8:$C$208,$H90,PremRes!$F$8:$F$208,$I90,PremRes!$D$8:$D$208,V$12))</f>
        <v>444706.31772537157</v>
      </c>
      <c r="X90" s="100">
        <f t="shared" si="11"/>
        <v>0</v>
      </c>
      <c r="Y90" s="100">
        <f t="shared" si="9"/>
        <v>-2.3283064365386963E-10</v>
      </c>
      <c r="Z90" s="100">
        <f t="shared" si="10"/>
        <v>9.3132257461547852E-10</v>
      </c>
    </row>
    <row r="91" spans="6:26">
      <c r="F91" s="4">
        <v>78</v>
      </c>
      <c r="G91" s="4">
        <v>2</v>
      </c>
      <c r="H91" s="4" t="str">
        <v>north west</v>
      </c>
      <c r="I91" s="4" t="str">
        <v>company_c</v>
      </c>
      <c r="K91" s="13">
        <v>78</v>
      </c>
      <c r="L91" s="13">
        <v>4032330.86357853</v>
      </c>
      <c r="M91" s="13">
        <v>1360981.9501292997</v>
      </c>
      <c r="N91" s="13">
        <v>4858871.5530990399</v>
      </c>
      <c r="O91" s="10"/>
      <c r="P91" s="13">
        <f t="shared" si="7"/>
        <v>0</v>
      </c>
      <c r="Q91" s="13">
        <f t="shared" si="12"/>
        <v>0</v>
      </c>
      <c r="R91" s="13">
        <f t="shared" si="8"/>
        <v>0</v>
      </c>
      <c r="S91" s="11"/>
      <c r="T91" s="13" cm="1">
        <f t="array" ref="T91">_xlfn.IFS($G91="__overall__",
SUMIFS(PremRes!$G$8:$G$208,PremRes!$B$8:$B$208,$G91,PremRes!$C$8:$C$208,$H91,PremRes!$F$8:$F$208,$I91,PremRes!$D$8:$D$208,T$12),
TRUE,
SUMIFS(PremRes!$G$8:$G$208,PremRes!$B$8:$B$208,"level_"&amp;$G91,PremRes!$C$8:$C$208,$H91,PremRes!$F$8:$F$208,$I91,PremRes!$D$8:$D$208,T$12))</f>
        <v>0</v>
      </c>
      <c r="U91" s="13" cm="1">
        <f t="array" ref="U91">_xlfn.IFS($G91="__overall__",
SUMIFS(PremRes!$G$8:$G$208,PremRes!$B$8:$B$208,$G91,PremRes!$C$8:$C$208,$H91,PremRes!$F$8:$F$208,$I91,PremRes!$D$8:$D$208,U$12),
TRUE,
SUMIFS(PremRes!$G$8:$G$208,PremRes!$B$8:$B$208,"level_"&amp;$G91,PremRes!$C$8:$C$208,$H91,PremRes!$F$8:$F$208,$I91,PremRes!$D$8:$D$208,U$12))</f>
        <v>0</v>
      </c>
      <c r="V91" s="13" cm="1">
        <f t="array" ref="V91">_xlfn.IFS($G91="__overall__",
SUMIFS(PremRes!$G$8:$G$208,PremRes!$B$8:$B$208,$G91,PremRes!$C$8:$C$208,$H91,PremRes!$F$8:$F$208,$I91,PremRes!$D$8:$D$208,V$12),
TRUE,
SUMIFS(PremRes!$G$8:$G$208,PremRes!$B$8:$B$208,"level_"&amp;$G91,PremRes!$C$8:$C$208,$H91,PremRes!$F$8:$F$208,$I91,PremRes!$D$8:$D$208,V$12))</f>
        <v>0</v>
      </c>
      <c r="X91" s="100">
        <f t="shared" si="11"/>
        <v>0</v>
      </c>
      <c r="Y91" s="100">
        <f t="shared" si="9"/>
        <v>0</v>
      </c>
      <c r="Z91" s="100">
        <f t="shared" si="10"/>
        <v>0</v>
      </c>
    </row>
    <row r="92" spans="6:26">
      <c r="F92" s="4">
        <v>79</v>
      </c>
      <c r="G92" s="4">
        <v>2</v>
      </c>
      <c r="H92" s="4" t="str">
        <v>north west</v>
      </c>
      <c r="I92" s="4" t="str">
        <v>company_d</v>
      </c>
      <c r="K92" s="13">
        <v>79</v>
      </c>
      <c r="L92" s="13">
        <v>4032330.86357853</v>
      </c>
      <c r="M92" s="13">
        <v>1360981.9501292997</v>
      </c>
      <c r="N92" s="13">
        <v>4858871.5530990399</v>
      </c>
      <c r="O92" s="10"/>
      <c r="P92" s="13">
        <f t="shared" si="7"/>
        <v>0</v>
      </c>
      <c r="Q92" s="13">
        <f t="shared" si="12"/>
        <v>0</v>
      </c>
      <c r="R92" s="13">
        <f t="shared" si="8"/>
        <v>0</v>
      </c>
      <c r="S92" s="11"/>
      <c r="T92" s="13" cm="1">
        <f t="array" ref="T92">_xlfn.IFS($G92="__overall__",
SUMIFS(PremRes!$G$8:$G$208,PremRes!$B$8:$B$208,$G92,PremRes!$C$8:$C$208,$H92,PremRes!$F$8:$F$208,$I92,PremRes!$D$8:$D$208,T$12),
TRUE,
SUMIFS(PremRes!$G$8:$G$208,PremRes!$B$8:$B$208,"level_"&amp;$G92,PremRes!$C$8:$C$208,$H92,PremRes!$F$8:$F$208,$I92,PremRes!$D$8:$D$208,T$12))</f>
        <v>0</v>
      </c>
      <c r="U92" s="13" cm="1">
        <f t="array" ref="U92">_xlfn.IFS($G92="__overall__",
SUMIFS(PremRes!$G$8:$G$208,PremRes!$B$8:$B$208,$G92,PremRes!$C$8:$C$208,$H92,PremRes!$F$8:$F$208,$I92,PremRes!$D$8:$D$208,U$12),
TRUE,
SUMIFS(PremRes!$G$8:$G$208,PremRes!$B$8:$B$208,"level_"&amp;$G92,PremRes!$C$8:$C$208,$H92,PremRes!$F$8:$F$208,$I92,PremRes!$D$8:$D$208,U$12))</f>
        <v>0</v>
      </c>
      <c r="V92" s="13" cm="1">
        <f t="array" ref="V92">_xlfn.IFS($G92="__overall__",
SUMIFS(PremRes!$G$8:$G$208,PremRes!$B$8:$B$208,$G92,PremRes!$C$8:$C$208,$H92,PremRes!$F$8:$F$208,$I92,PremRes!$D$8:$D$208,V$12),
TRUE,
SUMIFS(PremRes!$G$8:$G$208,PremRes!$B$8:$B$208,"level_"&amp;$G92,PremRes!$C$8:$C$208,$H92,PremRes!$F$8:$F$208,$I92,PremRes!$D$8:$D$208,V$12))</f>
        <v>0</v>
      </c>
      <c r="X92" s="100">
        <f t="shared" si="11"/>
        <v>0</v>
      </c>
      <c r="Y92" s="100">
        <f t="shared" si="9"/>
        <v>0</v>
      </c>
      <c r="Z92" s="100">
        <f t="shared" si="10"/>
        <v>0</v>
      </c>
    </row>
    <row r="93" spans="6:26">
      <c r="F93" s="4">
        <v>80</v>
      </c>
      <c r="G93" s="4">
        <v>2</v>
      </c>
      <c r="H93" s="4" t="str">
        <v>north west</v>
      </c>
      <c r="I93" s="4" t="str">
        <v>company_e</v>
      </c>
      <c r="K93" s="13">
        <v>80</v>
      </c>
      <c r="L93" s="13">
        <v>4032330.86357853</v>
      </c>
      <c r="M93" s="13">
        <v>1360981.9501292997</v>
      </c>
      <c r="N93" s="13">
        <v>4858871.5530990399</v>
      </c>
      <c r="O93" s="10"/>
      <c r="P93" s="13">
        <f t="shared" si="7"/>
        <v>0</v>
      </c>
      <c r="Q93" s="13">
        <f t="shared" si="12"/>
        <v>0</v>
      </c>
      <c r="R93" s="13">
        <f t="shared" si="8"/>
        <v>0</v>
      </c>
      <c r="S93" s="11"/>
      <c r="T93" s="13" cm="1">
        <f t="array" ref="T93">_xlfn.IFS($G93="__overall__",
SUMIFS(PremRes!$G$8:$G$208,PremRes!$B$8:$B$208,$G93,PremRes!$C$8:$C$208,$H93,PremRes!$F$8:$F$208,$I93,PremRes!$D$8:$D$208,T$12),
TRUE,
SUMIFS(PremRes!$G$8:$G$208,PremRes!$B$8:$B$208,"level_"&amp;$G93,PremRes!$C$8:$C$208,$H93,PremRes!$F$8:$F$208,$I93,PremRes!$D$8:$D$208,T$12))</f>
        <v>0</v>
      </c>
      <c r="U93" s="13" cm="1">
        <f t="array" ref="U93">_xlfn.IFS($G93="__overall__",
SUMIFS(PremRes!$G$8:$G$208,PremRes!$B$8:$B$208,$G93,PremRes!$C$8:$C$208,$H93,PremRes!$F$8:$F$208,$I93,PremRes!$D$8:$D$208,U$12),
TRUE,
SUMIFS(PremRes!$G$8:$G$208,PremRes!$B$8:$B$208,"level_"&amp;$G93,PremRes!$C$8:$C$208,$H93,PremRes!$F$8:$F$208,$I93,PremRes!$D$8:$D$208,U$12))</f>
        <v>0</v>
      </c>
      <c r="V93" s="13" cm="1">
        <f t="array" ref="V93">_xlfn.IFS($G93="__overall__",
SUMIFS(PremRes!$G$8:$G$208,PremRes!$B$8:$B$208,$G93,PremRes!$C$8:$C$208,$H93,PremRes!$F$8:$F$208,$I93,PremRes!$D$8:$D$208,V$12),
TRUE,
SUMIFS(PremRes!$G$8:$G$208,PremRes!$B$8:$B$208,"level_"&amp;$G93,PremRes!$C$8:$C$208,$H93,PremRes!$F$8:$F$208,$I93,PremRes!$D$8:$D$208,V$12))</f>
        <v>0</v>
      </c>
      <c r="X93" s="100">
        <f t="shared" si="11"/>
        <v>0</v>
      </c>
      <c r="Y93" s="100">
        <f t="shared" si="9"/>
        <v>0</v>
      </c>
      <c r="Z93" s="100">
        <f t="shared" si="10"/>
        <v>0</v>
      </c>
    </row>
    <row r="94" spans="6:26">
      <c r="F94" s="4">
        <v>81</v>
      </c>
      <c r="G94" s="4">
        <v>2</v>
      </c>
      <c r="H94" s="4" t="str">
        <v>north west</v>
      </c>
      <c r="I94" s="4" t="str">
        <v>company_g</v>
      </c>
      <c r="K94" s="13">
        <v>81</v>
      </c>
      <c r="L94" s="13">
        <v>4032330.86357853</v>
      </c>
      <c r="M94" s="13">
        <v>1360981.9501292997</v>
      </c>
      <c r="N94" s="13">
        <v>4858871.5530990399</v>
      </c>
      <c r="O94" s="10"/>
      <c r="P94" s="13">
        <f t="shared" si="7"/>
        <v>0</v>
      </c>
      <c r="Q94" s="13">
        <f t="shared" si="12"/>
        <v>0</v>
      </c>
      <c r="R94" s="13">
        <f t="shared" si="8"/>
        <v>0</v>
      </c>
      <c r="S94" s="11"/>
      <c r="T94" s="13" cm="1">
        <f t="array" ref="T94">_xlfn.IFS($G94="__overall__",
SUMIFS(PremRes!$G$8:$G$208,PremRes!$B$8:$B$208,$G94,PremRes!$C$8:$C$208,$H94,PremRes!$F$8:$F$208,$I94,PremRes!$D$8:$D$208,T$12),
TRUE,
SUMIFS(PremRes!$G$8:$G$208,PremRes!$B$8:$B$208,"level_"&amp;$G94,PremRes!$C$8:$C$208,$H94,PremRes!$F$8:$F$208,$I94,PremRes!$D$8:$D$208,T$12))</f>
        <v>0</v>
      </c>
      <c r="U94" s="13" cm="1">
        <f t="array" ref="U94">_xlfn.IFS($G94="__overall__",
SUMIFS(PremRes!$G$8:$G$208,PremRes!$B$8:$B$208,$G94,PremRes!$C$8:$C$208,$H94,PremRes!$F$8:$F$208,$I94,PremRes!$D$8:$D$208,U$12),
TRUE,
SUMIFS(PremRes!$G$8:$G$208,PremRes!$B$8:$B$208,"level_"&amp;$G94,PremRes!$C$8:$C$208,$H94,PremRes!$F$8:$F$208,$I94,PremRes!$D$8:$D$208,U$12))</f>
        <v>0</v>
      </c>
      <c r="V94" s="13" cm="1">
        <f t="array" ref="V94">_xlfn.IFS($G94="__overall__",
SUMIFS(PremRes!$G$8:$G$208,PremRes!$B$8:$B$208,$G94,PremRes!$C$8:$C$208,$H94,PremRes!$F$8:$F$208,$I94,PremRes!$D$8:$D$208,V$12),
TRUE,
SUMIFS(PremRes!$G$8:$G$208,PremRes!$B$8:$B$208,"level_"&amp;$G94,PremRes!$C$8:$C$208,$H94,PremRes!$F$8:$F$208,$I94,PremRes!$D$8:$D$208,V$12))</f>
        <v>0</v>
      </c>
      <c r="X94" s="100">
        <f t="shared" si="11"/>
        <v>0</v>
      </c>
      <c r="Y94" s="100">
        <f t="shared" si="9"/>
        <v>0</v>
      </c>
      <c r="Z94" s="100">
        <f t="shared" si="10"/>
        <v>0</v>
      </c>
    </row>
    <row r="95" spans="6:26">
      <c r="F95" s="4">
        <v>82</v>
      </c>
      <c r="G95" s="4">
        <v>2</v>
      </c>
      <c r="H95" s="4" t="str">
        <v>northern cape</v>
      </c>
      <c r="I95" s="4" t="str">
        <v>gross charge</v>
      </c>
      <c r="K95" s="13">
        <v>82</v>
      </c>
      <c r="L95" s="13">
        <v>4348944.7316447366</v>
      </c>
      <c r="M95" s="13">
        <v>1694783.402692073</v>
      </c>
      <c r="N95" s="13">
        <v>5393818.6767365318</v>
      </c>
      <c r="O95" s="10"/>
      <c r="P95" s="13">
        <f t="shared" si="7"/>
        <v>4348944.7316447366</v>
      </c>
      <c r="Q95" s="13">
        <f t="shared" si="12"/>
        <v>1694783.402692073</v>
      </c>
      <c r="R95" s="13">
        <f t="shared" si="8"/>
        <v>5393818.6767365318</v>
      </c>
      <c r="S95" s="11"/>
      <c r="T95" s="13" cm="1">
        <f t="array" ref="T95">_xlfn.IFS($G95="__overall__",
SUMIFS(PremRes!$G$8:$G$208,PremRes!$B$8:$B$208,$G95,PremRes!$C$8:$C$208,$H95,PremRes!$F$8:$F$208,$I95,PremRes!$D$8:$D$208,T$12),
TRUE,
SUMIFS(PremRes!$G$8:$G$208,PremRes!$B$8:$B$208,"level_"&amp;$G95,PremRes!$C$8:$C$208,$H95,PremRes!$F$8:$F$208,$I95,PremRes!$D$8:$D$208,T$12))</f>
        <v>4348944.7316447366</v>
      </c>
      <c r="U95" s="13" cm="1">
        <f t="array" ref="U95">_xlfn.IFS($G95="__overall__",
SUMIFS(PremRes!$G$8:$G$208,PremRes!$B$8:$B$208,$G95,PremRes!$C$8:$C$208,$H95,PremRes!$F$8:$F$208,$I95,PremRes!$D$8:$D$208,U$12),
TRUE,
SUMIFS(PremRes!$G$8:$G$208,PremRes!$B$8:$B$208,"level_"&amp;$G95,PremRes!$C$8:$C$208,$H95,PremRes!$F$8:$F$208,$I95,PremRes!$D$8:$D$208,U$12))</f>
        <v>1694783.402692073</v>
      </c>
      <c r="V95" s="13" cm="1">
        <f t="array" ref="V95">_xlfn.IFS($G95="__overall__",
SUMIFS(PremRes!$G$8:$G$208,PremRes!$B$8:$B$208,$G95,PremRes!$C$8:$C$208,$H95,PremRes!$F$8:$F$208,$I95,PremRes!$D$8:$D$208,V$12),
TRUE,
SUMIFS(PremRes!$G$8:$G$208,PremRes!$B$8:$B$208,"level_"&amp;$G95,PremRes!$C$8:$C$208,$H95,PremRes!$F$8:$F$208,$I95,PremRes!$D$8:$D$208,V$12))</f>
        <v>5393818.6767365318</v>
      </c>
      <c r="X95" s="100">
        <f t="shared" si="11"/>
        <v>0</v>
      </c>
      <c r="Y95" s="100">
        <f t="shared" si="9"/>
        <v>0</v>
      </c>
      <c r="Z95" s="100">
        <f t="shared" si="10"/>
        <v>0</v>
      </c>
    </row>
    <row r="96" spans="6:26">
      <c r="F96" s="4">
        <v>83</v>
      </c>
      <c r="G96" s="4">
        <v>2</v>
      </c>
      <c r="H96" s="4" t="str">
        <v>northern cape</v>
      </c>
      <c r="I96" s="4" t="str">
        <v>net charge</v>
      </c>
      <c r="K96" s="13">
        <v>83</v>
      </c>
      <c r="L96" s="13">
        <v>4068390.9801884196</v>
      </c>
      <c r="M96" s="13">
        <v>1630385.5219585011</v>
      </c>
      <c r="N96" s="13">
        <v>5077017.9014536133</v>
      </c>
      <c r="O96" s="10"/>
      <c r="P96" s="13">
        <f t="shared" si="7"/>
        <v>4068390.9801884196</v>
      </c>
      <c r="Q96" s="13">
        <f t="shared" si="12"/>
        <v>1630385.5219585011</v>
      </c>
      <c r="R96" s="13">
        <f t="shared" si="8"/>
        <v>5077017.9014536133</v>
      </c>
      <c r="S96" s="11"/>
      <c r="T96" s="13" cm="1">
        <f t="array" ref="T96">_xlfn.IFS($G96="__overall__",
SUMIFS(PremRes!$G$8:$G$208,PremRes!$B$8:$B$208,$G96,PremRes!$C$8:$C$208,$H96,PremRes!$F$8:$F$208,$I96,PremRes!$D$8:$D$208,T$12),
TRUE,
SUMIFS(PremRes!$G$8:$G$208,PremRes!$B$8:$B$208,"level_"&amp;$G96,PremRes!$C$8:$C$208,$H96,PremRes!$F$8:$F$208,$I96,PremRes!$D$8:$D$208,T$12))</f>
        <v>4068390.9801884196</v>
      </c>
      <c r="U96" s="13" cm="1">
        <f t="array" ref="U96">_xlfn.IFS($G96="__overall__",
SUMIFS(PremRes!$G$8:$G$208,PremRes!$B$8:$B$208,$G96,PremRes!$C$8:$C$208,$H96,PremRes!$F$8:$F$208,$I96,PremRes!$D$8:$D$208,U$12),
TRUE,
SUMIFS(PremRes!$G$8:$G$208,PremRes!$B$8:$B$208,"level_"&amp;$G96,PremRes!$C$8:$C$208,$H96,PremRes!$F$8:$F$208,$I96,PremRes!$D$8:$D$208,U$12))</f>
        <v>1630385.5219585015</v>
      </c>
      <c r="V96" s="13" cm="1">
        <f t="array" ref="V96">_xlfn.IFS($G96="__overall__",
SUMIFS(PremRes!$G$8:$G$208,PremRes!$B$8:$B$208,$G96,PremRes!$C$8:$C$208,$H96,PremRes!$F$8:$F$208,$I96,PremRes!$D$8:$D$208,V$12),
TRUE,
SUMIFS(PremRes!$G$8:$G$208,PremRes!$B$8:$B$208,"level_"&amp;$G96,PremRes!$C$8:$C$208,$H96,PremRes!$F$8:$F$208,$I96,PremRes!$D$8:$D$208,V$12))</f>
        <v>5077017.9014536142</v>
      </c>
      <c r="X96" s="100">
        <f t="shared" si="11"/>
        <v>0</v>
      </c>
      <c r="Y96" s="100">
        <f t="shared" si="9"/>
        <v>0</v>
      </c>
      <c r="Z96" s="100">
        <f t="shared" si="10"/>
        <v>0</v>
      </c>
    </row>
    <row r="97" spans="6:26">
      <c r="F97" s="4">
        <v>84</v>
      </c>
      <c r="G97" s="4">
        <v>2</v>
      </c>
      <c r="H97" s="4" t="str">
        <v>northern cape</v>
      </c>
      <c r="I97" s="4" t="str">
        <v>calculated net charge</v>
      </c>
      <c r="K97" s="13">
        <v>84</v>
      </c>
      <c r="L97" s="13">
        <v>4025146.1763260402</v>
      </c>
      <c r="M97" s="13">
        <v>1636426.4653383472</v>
      </c>
      <c r="N97" s="13">
        <v>5040891.1339115528</v>
      </c>
      <c r="O97" s="10"/>
      <c r="P97" s="13">
        <f t="shared" si="7"/>
        <v>4025146.1763260402</v>
      </c>
      <c r="Q97" s="13">
        <f t="shared" si="12"/>
        <v>1636426.4653383472</v>
      </c>
      <c r="R97" s="13">
        <f t="shared" si="8"/>
        <v>5040891.1339115528</v>
      </c>
      <c r="S97" s="11"/>
      <c r="T97" s="13" cm="1">
        <f t="array" ref="T97">_xlfn.IFS($G97="__overall__",
SUMIFS(PremRes!$G$8:$G$208,PremRes!$B$8:$B$208,$G97,PremRes!$C$8:$C$208,$H97,PremRes!$F$8:$F$208,$I97,PremRes!$D$8:$D$208,T$12),
TRUE,
SUMIFS(PremRes!$G$8:$G$208,PremRes!$B$8:$B$208,"level_"&amp;$G97,PremRes!$C$8:$C$208,$H97,PremRes!$F$8:$F$208,$I97,PremRes!$D$8:$D$208,T$12))</f>
        <v>4025146.1763260402</v>
      </c>
      <c r="U97" s="13" cm="1">
        <f t="array" ref="U97">_xlfn.IFS($G97="__overall__",
SUMIFS(PremRes!$G$8:$G$208,PremRes!$B$8:$B$208,$G97,PremRes!$C$8:$C$208,$H97,PremRes!$F$8:$F$208,$I97,PremRes!$D$8:$D$208,U$12),
TRUE,
SUMIFS(PremRes!$G$8:$G$208,PremRes!$B$8:$B$208,"level_"&amp;$G97,PremRes!$C$8:$C$208,$H97,PremRes!$F$8:$F$208,$I97,PremRes!$D$8:$D$208,U$12))</f>
        <v>1636426.4653383472</v>
      </c>
      <c r="V97" s="13" cm="1">
        <f t="array" ref="V97">_xlfn.IFS($G97="__overall__",
SUMIFS(PremRes!$G$8:$G$208,PremRes!$B$8:$B$208,$G97,PremRes!$C$8:$C$208,$H97,PremRes!$F$8:$F$208,$I97,PremRes!$D$8:$D$208,V$12),
TRUE,
SUMIFS(PremRes!$G$8:$G$208,PremRes!$B$8:$B$208,"level_"&amp;$G97,PremRes!$C$8:$C$208,$H97,PremRes!$F$8:$F$208,$I97,PremRes!$D$8:$D$208,V$12))</f>
        <v>5040891.1339115528</v>
      </c>
      <c r="X97" s="100">
        <f t="shared" si="11"/>
        <v>0</v>
      </c>
      <c r="Y97" s="100">
        <f t="shared" si="9"/>
        <v>0</v>
      </c>
      <c r="Z97" s="100">
        <f t="shared" si="10"/>
        <v>0</v>
      </c>
    </row>
    <row r="98" spans="6:26">
      <c r="F98" s="4">
        <v>85</v>
      </c>
      <c r="G98" s="4">
        <v>2</v>
      </c>
      <c r="H98" s="4" t="str">
        <v>northern cape</v>
      </c>
      <c r="I98" s="4" t="str">
        <v>company_a</v>
      </c>
      <c r="K98" s="4">
        <v>85</v>
      </c>
      <c r="L98" s="13">
        <v>4198334.1690741749</v>
      </c>
      <c r="M98" s="13">
        <v>1667980.984348763</v>
      </c>
      <c r="N98" s="13">
        <v>5230018.5135298241</v>
      </c>
      <c r="O98" s="10"/>
      <c r="P98" s="13">
        <f t="shared" si="7"/>
        <v>173187.99274813477</v>
      </c>
      <c r="Q98" s="13">
        <f t="shared" si="12"/>
        <v>31554.519010415766</v>
      </c>
      <c r="R98" s="13">
        <f t="shared" si="8"/>
        <v>189127.37961827125</v>
      </c>
      <c r="S98" s="11"/>
      <c r="T98" s="13" cm="1">
        <f t="array" ref="T98">_xlfn.IFS($G98="__overall__",
SUMIFS(PremRes!$G$8:$G$208,PremRes!$B$8:$B$208,$G98,PremRes!$C$8:$C$208,$H98,PremRes!$F$8:$F$208,$I98,PremRes!$D$8:$D$208,T$12),
TRUE,
SUMIFS(PremRes!$G$8:$G$208,PremRes!$B$8:$B$208,"level_"&amp;$G98,PremRes!$C$8:$C$208,$H98,PremRes!$F$8:$F$208,$I98,PremRes!$D$8:$D$208,T$12))</f>
        <v>173187.99274813477</v>
      </c>
      <c r="U98" s="13" cm="1">
        <f t="array" ref="U98">_xlfn.IFS($G98="__overall__",
SUMIFS(PremRes!$G$8:$G$208,PremRes!$B$8:$B$208,$G98,PremRes!$C$8:$C$208,$H98,PremRes!$F$8:$F$208,$I98,PremRes!$D$8:$D$208,U$12),
TRUE,
SUMIFS(PremRes!$G$8:$G$208,PremRes!$B$8:$B$208,"level_"&amp;$G98,PremRes!$C$8:$C$208,$H98,PremRes!$F$8:$F$208,$I98,PremRes!$D$8:$D$208,U$12))</f>
        <v>31554.519010415766</v>
      </c>
      <c r="V98" s="13" cm="1">
        <f t="array" ref="V98">_xlfn.IFS($G98="__overall__",
SUMIFS(PremRes!$G$8:$G$208,PremRes!$B$8:$B$208,$G98,PremRes!$C$8:$C$208,$H98,PremRes!$F$8:$F$208,$I98,PremRes!$D$8:$D$208,V$12),
TRUE,
SUMIFS(PremRes!$G$8:$G$208,PremRes!$B$8:$B$208,"level_"&amp;$G98,PremRes!$C$8:$C$208,$H98,PremRes!$F$8:$F$208,$I98,PremRes!$D$8:$D$208,V$12))</f>
        <v>189127.37961827125</v>
      </c>
      <c r="X98" s="100">
        <f t="shared" si="11"/>
        <v>0</v>
      </c>
      <c r="Y98" s="100">
        <f t="shared" si="9"/>
        <v>0</v>
      </c>
      <c r="Z98" s="100">
        <f t="shared" si="10"/>
        <v>0</v>
      </c>
    </row>
    <row r="99" spans="6:26">
      <c r="F99" s="4">
        <v>86</v>
      </c>
      <c r="G99" s="4">
        <v>2</v>
      </c>
      <c r="H99" s="4" t="str">
        <v>northern cape</v>
      </c>
      <c r="I99" s="4" t="str">
        <v>company_b</v>
      </c>
      <c r="K99" s="4">
        <v>86</v>
      </c>
      <c r="L99" s="13">
        <v>4162298.6386909038</v>
      </c>
      <c r="M99" s="13">
        <v>1661493.5005644388</v>
      </c>
      <c r="N99" s="13">
        <v>5190751.8870178955</v>
      </c>
      <c r="O99" s="10"/>
      <c r="P99" s="13">
        <f t="shared" si="7"/>
        <v>137152.4623648636</v>
      </c>
      <c r="Q99" s="13">
        <f t="shared" si="12"/>
        <v>25067.03522609151</v>
      </c>
      <c r="R99" s="13">
        <f t="shared" si="8"/>
        <v>149860.75310634263</v>
      </c>
      <c r="S99" s="11"/>
      <c r="T99" s="13" cm="1">
        <f t="array" ref="T99">_xlfn.IFS($G99="__overall__",
SUMIFS(PremRes!$G$8:$G$208,PremRes!$B$8:$B$208,$G99,PremRes!$C$8:$C$208,$H99,PremRes!$F$8:$F$208,$I99,PremRes!$D$8:$D$208,T$12),
TRUE,
SUMIFS(PremRes!$G$8:$G$208,PremRes!$B$8:$B$208,"level_"&amp;$G99,PremRes!$C$8:$C$208,$H99,PremRes!$F$8:$F$208,$I99,PremRes!$D$8:$D$208,T$12))</f>
        <v>137152.4623648636</v>
      </c>
      <c r="U99" s="13" cm="1">
        <f t="array" ref="U99">_xlfn.IFS($G99="__overall__",
SUMIFS(PremRes!$G$8:$G$208,PremRes!$B$8:$B$208,$G99,PremRes!$C$8:$C$208,$H99,PremRes!$F$8:$F$208,$I99,PremRes!$D$8:$D$208,U$12),
TRUE,
SUMIFS(PremRes!$G$8:$G$208,PremRes!$B$8:$B$208,"level_"&amp;$G99,PremRes!$C$8:$C$208,$H99,PremRes!$F$8:$F$208,$I99,PremRes!$D$8:$D$208,U$12))</f>
        <v>25067.03522609151</v>
      </c>
      <c r="V99" s="13" cm="1">
        <f t="array" ref="V99">_xlfn.IFS($G99="__overall__",
SUMIFS(PremRes!$G$8:$G$208,PremRes!$B$8:$B$208,$G99,PremRes!$C$8:$C$208,$H99,PremRes!$F$8:$F$208,$I99,PremRes!$D$8:$D$208,V$12),
TRUE,
SUMIFS(PremRes!$G$8:$G$208,PremRes!$B$8:$B$208,"level_"&amp;$G99,PremRes!$C$8:$C$208,$H99,PremRes!$F$8:$F$208,$I99,PremRes!$D$8:$D$208,V$12))</f>
        <v>149860.75310634263</v>
      </c>
      <c r="X99" s="100">
        <f t="shared" si="11"/>
        <v>0</v>
      </c>
      <c r="Y99" s="100">
        <f t="shared" si="9"/>
        <v>0</v>
      </c>
      <c r="Z99" s="100">
        <f t="shared" si="10"/>
        <v>0</v>
      </c>
    </row>
    <row r="100" spans="6:26">
      <c r="F100" s="4">
        <v>87</v>
      </c>
      <c r="G100" s="4">
        <v>2</v>
      </c>
      <c r="H100" s="4" t="str">
        <v>northern cape</v>
      </c>
      <c r="I100" s="4" t="str">
        <v>company_c</v>
      </c>
      <c r="K100" s="4">
        <v>87</v>
      </c>
      <c r="L100" s="13">
        <v>4025146.1763260402</v>
      </c>
      <c r="M100" s="13">
        <v>1636426.4653383472</v>
      </c>
      <c r="N100" s="13">
        <v>5040891.1339115528</v>
      </c>
      <c r="O100" s="10"/>
      <c r="P100" s="13">
        <f t="shared" si="7"/>
        <v>0</v>
      </c>
      <c r="Q100" s="13">
        <f t="shared" si="12"/>
        <v>0</v>
      </c>
      <c r="R100" s="13">
        <f t="shared" si="8"/>
        <v>0</v>
      </c>
      <c r="S100" s="11"/>
      <c r="T100" s="13" cm="1">
        <f t="array" ref="T100">_xlfn.IFS($G100="__overall__",
SUMIFS(PremRes!$G$8:$G$208,PremRes!$B$8:$B$208,$G100,PremRes!$C$8:$C$208,$H100,PremRes!$F$8:$F$208,$I100,PremRes!$D$8:$D$208,T$12),
TRUE,
SUMIFS(PremRes!$G$8:$G$208,PremRes!$B$8:$B$208,"level_"&amp;$G100,PremRes!$C$8:$C$208,$H100,PremRes!$F$8:$F$208,$I100,PremRes!$D$8:$D$208,T$12))</f>
        <v>0</v>
      </c>
      <c r="U100" s="13" cm="1">
        <f t="array" ref="U100">_xlfn.IFS($G100="__overall__",
SUMIFS(PremRes!$G$8:$G$208,PremRes!$B$8:$B$208,$G100,PremRes!$C$8:$C$208,$H100,PremRes!$F$8:$F$208,$I100,PremRes!$D$8:$D$208,U$12),
TRUE,
SUMIFS(PremRes!$G$8:$G$208,PremRes!$B$8:$B$208,"level_"&amp;$G100,PremRes!$C$8:$C$208,$H100,PremRes!$F$8:$F$208,$I100,PremRes!$D$8:$D$208,U$12))</f>
        <v>0</v>
      </c>
      <c r="V100" s="13" cm="1">
        <f t="array" ref="V100">_xlfn.IFS($G100="__overall__",
SUMIFS(PremRes!$G$8:$G$208,PremRes!$B$8:$B$208,$G100,PremRes!$C$8:$C$208,$H100,PremRes!$F$8:$F$208,$I100,PremRes!$D$8:$D$208,V$12),
TRUE,
SUMIFS(PremRes!$G$8:$G$208,PremRes!$B$8:$B$208,"level_"&amp;$G100,PremRes!$C$8:$C$208,$H100,PremRes!$F$8:$F$208,$I100,PremRes!$D$8:$D$208,V$12))</f>
        <v>0</v>
      </c>
      <c r="X100" s="100">
        <f t="shared" si="11"/>
        <v>0</v>
      </c>
      <c r="Y100" s="100">
        <f t="shared" si="9"/>
        <v>0</v>
      </c>
      <c r="Z100" s="100">
        <f t="shared" si="10"/>
        <v>0</v>
      </c>
    </row>
    <row r="101" spans="6:26">
      <c r="F101" s="4">
        <v>88</v>
      </c>
      <c r="G101" s="4">
        <v>2</v>
      </c>
      <c r="H101" s="4" t="str">
        <v>northern cape</v>
      </c>
      <c r="I101" s="4" t="str">
        <v>company_d</v>
      </c>
      <c r="K101" s="4">
        <v>88</v>
      </c>
      <c r="L101" s="13">
        <v>4025146.1763260402</v>
      </c>
      <c r="M101" s="13">
        <v>1636426.4653383472</v>
      </c>
      <c r="N101" s="13">
        <v>5040891.1339115528</v>
      </c>
      <c r="O101" s="10"/>
      <c r="P101" s="13">
        <f t="shared" si="7"/>
        <v>0</v>
      </c>
      <c r="Q101" s="13">
        <f t="shared" si="12"/>
        <v>0</v>
      </c>
      <c r="R101" s="13">
        <f t="shared" si="8"/>
        <v>0</v>
      </c>
      <c r="S101" s="11"/>
      <c r="T101" s="13" cm="1">
        <f t="array" ref="T101">_xlfn.IFS($G101="__overall__",
SUMIFS(PremRes!$G$8:$G$208,PremRes!$B$8:$B$208,$G101,PremRes!$C$8:$C$208,$H101,PremRes!$F$8:$F$208,$I101,PremRes!$D$8:$D$208,T$12),
TRUE,
SUMIFS(PremRes!$G$8:$G$208,PremRes!$B$8:$B$208,"level_"&amp;$G101,PremRes!$C$8:$C$208,$H101,PremRes!$F$8:$F$208,$I101,PremRes!$D$8:$D$208,T$12))</f>
        <v>0</v>
      </c>
      <c r="U101" s="13" cm="1">
        <f t="array" ref="U101">_xlfn.IFS($G101="__overall__",
SUMIFS(PremRes!$G$8:$G$208,PremRes!$B$8:$B$208,$G101,PremRes!$C$8:$C$208,$H101,PremRes!$F$8:$F$208,$I101,PremRes!$D$8:$D$208,U$12),
TRUE,
SUMIFS(PremRes!$G$8:$G$208,PremRes!$B$8:$B$208,"level_"&amp;$G101,PremRes!$C$8:$C$208,$H101,PremRes!$F$8:$F$208,$I101,PremRes!$D$8:$D$208,U$12))</f>
        <v>0</v>
      </c>
      <c r="V101" s="13" cm="1">
        <f t="array" ref="V101">_xlfn.IFS($G101="__overall__",
SUMIFS(PremRes!$G$8:$G$208,PremRes!$B$8:$B$208,$G101,PremRes!$C$8:$C$208,$H101,PremRes!$F$8:$F$208,$I101,PremRes!$D$8:$D$208,V$12),
TRUE,
SUMIFS(PremRes!$G$8:$G$208,PremRes!$B$8:$B$208,"level_"&amp;$G101,PremRes!$C$8:$C$208,$H101,PremRes!$F$8:$F$208,$I101,PremRes!$D$8:$D$208,V$12))</f>
        <v>0</v>
      </c>
      <c r="X101" s="100">
        <f t="shared" si="11"/>
        <v>0</v>
      </c>
      <c r="Y101" s="100">
        <f t="shared" si="9"/>
        <v>0</v>
      </c>
      <c r="Z101" s="100">
        <f t="shared" si="10"/>
        <v>0</v>
      </c>
    </row>
    <row r="102" spans="6:26">
      <c r="F102" s="4">
        <v>89</v>
      </c>
      <c r="G102" s="4">
        <v>2</v>
      </c>
      <c r="H102" s="4" t="str">
        <v>northern cape</v>
      </c>
      <c r="I102" s="4" t="str">
        <v>company_e</v>
      </c>
      <c r="K102" s="4">
        <v>89</v>
      </c>
      <c r="L102" s="13">
        <v>4025146.1763260402</v>
      </c>
      <c r="M102" s="13">
        <v>1636426.4653383472</v>
      </c>
      <c r="N102" s="13">
        <v>5040891.1339115528</v>
      </c>
      <c r="O102" s="10"/>
      <c r="P102" s="13">
        <f t="shared" si="7"/>
        <v>0</v>
      </c>
      <c r="Q102" s="13">
        <f t="shared" si="12"/>
        <v>0</v>
      </c>
      <c r="R102" s="13">
        <f t="shared" si="8"/>
        <v>0</v>
      </c>
      <c r="S102" s="11"/>
      <c r="T102" s="13" cm="1">
        <f t="array" ref="T102">_xlfn.IFS($G102="__overall__",
SUMIFS(PremRes!$G$8:$G$208,PremRes!$B$8:$B$208,$G102,PremRes!$C$8:$C$208,$H102,PremRes!$F$8:$F$208,$I102,PremRes!$D$8:$D$208,T$12),
TRUE,
SUMIFS(PremRes!$G$8:$G$208,PremRes!$B$8:$B$208,"level_"&amp;$G102,PremRes!$C$8:$C$208,$H102,PremRes!$F$8:$F$208,$I102,PremRes!$D$8:$D$208,T$12))</f>
        <v>0</v>
      </c>
      <c r="U102" s="13" cm="1">
        <f t="array" ref="U102">_xlfn.IFS($G102="__overall__",
SUMIFS(PremRes!$G$8:$G$208,PremRes!$B$8:$B$208,$G102,PremRes!$C$8:$C$208,$H102,PremRes!$F$8:$F$208,$I102,PremRes!$D$8:$D$208,U$12),
TRUE,
SUMIFS(PremRes!$G$8:$G$208,PremRes!$B$8:$B$208,"level_"&amp;$G102,PremRes!$C$8:$C$208,$H102,PremRes!$F$8:$F$208,$I102,PremRes!$D$8:$D$208,U$12))</f>
        <v>0</v>
      </c>
      <c r="V102" s="13" cm="1">
        <f t="array" ref="V102">_xlfn.IFS($G102="__overall__",
SUMIFS(PremRes!$G$8:$G$208,PremRes!$B$8:$B$208,$G102,PremRes!$C$8:$C$208,$H102,PremRes!$F$8:$F$208,$I102,PremRes!$D$8:$D$208,V$12),
TRUE,
SUMIFS(PremRes!$G$8:$G$208,PremRes!$B$8:$B$208,"level_"&amp;$G102,PremRes!$C$8:$C$208,$H102,PremRes!$F$8:$F$208,$I102,PremRes!$D$8:$D$208,V$12))</f>
        <v>0</v>
      </c>
      <c r="X102" s="100">
        <f t="shared" si="11"/>
        <v>0</v>
      </c>
      <c r="Y102" s="100">
        <f t="shared" si="9"/>
        <v>0</v>
      </c>
      <c r="Z102" s="100">
        <f t="shared" si="10"/>
        <v>0</v>
      </c>
    </row>
    <row r="103" spans="6:26">
      <c r="F103" s="4">
        <v>90</v>
      </c>
      <c r="G103" s="4">
        <v>2</v>
      </c>
      <c r="H103" s="4" t="str">
        <v>northern cape</v>
      </c>
      <c r="I103" s="4" t="str">
        <v>company_g</v>
      </c>
      <c r="K103" s="4">
        <v>90</v>
      </c>
      <c r="L103" s="13">
        <v>4025146.1763260402</v>
      </c>
      <c r="M103" s="13">
        <v>1636426.4653383472</v>
      </c>
      <c r="N103" s="13">
        <v>5040891.1339115528</v>
      </c>
      <c r="O103" s="10"/>
      <c r="P103" s="13">
        <f t="shared" si="7"/>
        <v>0</v>
      </c>
      <c r="Q103" s="13">
        <f t="shared" si="12"/>
        <v>0</v>
      </c>
      <c r="R103" s="13">
        <f t="shared" si="8"/>
        <v>0</v>
      </c>
      <c r="S103" s="11"/>
      <c r="T103" s="13" cm="1">
        <f t="array" ref="T103">_xlfn.IFS($G103="__overall__",
SUMIFS(PremRes!$G$8:$G$208,PremRes!$B$8:$B$208,$G103,PremRes!$C$8:$C$208,$H103,PremRes!$F$8:$F$208,$I103,PremRes!$D$8:$D$208,T$12),
TRUE,
SUMIFS(PremRes!$G$8:$G$208,PremRes!$B$8:$B$208,"level_"&amp;$G103,PremRes!$C$8:$C$208,$H103,PremRes!$F$8:$F$208,$I103,PremRes!$D$8:$D$208,T$12))</f>
        <v>0</v>
      </c>
      <c r="U103" s="13" cm="1">
        <f t="array" ref="U103">_xlfn.IFS($G103="__overall__",
SUMIFS(PremRes!$G$8:$G$208,PremRes!$B$8:$B$208,$G103,PremRes!$C$8:$C$208,$H103,PremRes!$F$8:$F$208,$I103,PremRes!$D$8:$D$208,U$12),
TRUE,
SUMIFS(PremRes!$G$8:$G$208,PremRes!$B$8:$B$208,"level_"&amp;$G103,PremRes!$C$8:$C$208,$H103,PremRes!$F$8:$F$208,$I103,PremRes!$D$8:$D$208,U$12))</f>
        <v>0</v>
      </c>
      <c r="V103" s="13" cm="1">
        <f t="array" ref="V103">_xlfn.IFS($G103="__overall__",
SUMIFS(PremRes!$G$8:$G$208,PremRes!$B$8:$B$208,$G103,PremRes!$C$8:$C$208,$H103,PremRes!$F$8:$F$208,$I103,PremRes!$D$8:$D$208,V$12),
TRUE,
SUMIFS(PremRes!$G$8:$G$208,PremRes!$B$8:$B$208,"level_"&amp;$G103,PremRes!$C$8:$C$208,$H103,PremRes!$F$8:$F$208,$I103,PremRes!$D$8:$D$208,V$12))</f>
        <v>0</v>
      </c>
      <c r="X103" s="100">
        <f t="shared" si="11"/>
        <v>0</v>
      </c>
      <c r="Y103" s="100">
        <f t="shared" si="9"/>
        <v>0</v>
      </c>
      <c r="Z103" s="100">
        <f t="shared" si="10"/>
        <v>0</v>
      </c>
    </row>
    <row r="104" spans="6:26">
      <c r="F104" s="4">
        <v>91</v>
      </c>
      <c r="G104" s="4">
        <v>2</v>
      </c>
      <c r="H104" s="4" t="str">
        <v>free state</v>
      </c>
      <c r="I104" s="4" t="str">
        <v>gross charge</v>
      </c>
      <c r="K104" s="4">
        <v>91</v>
      </c>
      <c r="L104" s="13">
        <v>3765300.5782548334</v>
      </c>
      <c r="M104" s="13">
        <v>1164469.3237679321</v>
      </c>
      <c r="N104" s="13">
        <v>4450505.4614063362</v>
      </c>
      <c r="O104" s="10"/>
      <c r="P104" s="13">
        <f t="shared" si="7"/>
        <v>3765300.5782548334</v>
      </c>
      <c r="Q104" s="13">
        <f t="shared" si="12"/>
        <v>1164469.3237679321</v>
      </c>
      <c r="R104" s="13">
        <f t="shared" si="8"/>
        <v>4450505.4614063362</v>
      </c>
      <c r="S104" s="11"/>
      <c r="T104" s="13" cm="1">
        <f t="array" ref="T104">_xlfn.IFS($G104="__overall__",
SUMIFS(PremRes!$G$8:$G$208,PremRes!$B$8:$B$208,$G104,PremRes!$C$8:$C$208,$H104,PremRes!$F$8:$F$208,$I104,PremRes!$D$8:$D$208,T$12),
TRUE,
SUMIFS(PremRes!$G$8:$G$208,PremRes!$B$8:$B$208,"level_"&amp;$G104,PremRes!$C$8:$C$208,$H104,PremRes!$F$8:$F$208,$I104,PremRes!$D$8:$D$208,T$12))</f>
        <v>3765300.5782548334</v>
      </c>
      <c r="U104" s="13" cm="1">
        <f t="array" ref="U104">_xlfn.IFS($G104="__overall__",
SUMIFS(PremRes!$G$8:$G$208,PremRes!$B$8:$B$208,$G104,PremRes!$C$8:$C$208,$H104,PremRes!$F$8:$F$208,$I104,PremRes!$D$8:$D$208,U$12),
TRUE,
SUMIFS(PremRes!$G$8:$G$208,PremRes!$B$8:$B$208,"level_"&amp;$G104,PremRes!$C$8:$C$208,$H104,PremRes!$F$8:$F$208,$I104,PremRes!$D$8:$D$208,U$12))</f>
        <v>1164469.3237679324</v>
      </c>
      <c r="V104" s="13" cm="1">
        <f t="array" ref="V104">_xlfn.IFS($G104="__overall__",
SUMIFS(PremRes!$G$8:$G$208,PremRes!$B$8:$B$208,$G104,PremRes!$C$8:$C$208,$H104,PremRes!$F$8:$F$208,$I104,PremRes!$D$8:$D$208,V$12),
TRUE,
SUMIFS(PremRes!$G$8:$G$208,PremRes!$B$8:$B$208,"level_"&amp;$G104,PremRes!$C$8:$C$208,$H104,PremRes!$F$8:$F$208,$I104,PremRes!$D$8:$D$208,V$12))</f>
        <v>4450505.4614063352</v>
      </c>
      <c r="X104" s="100">
        <f t="shared" si="11"/>
        <v>0</v>
      </c>
      <c r="Y104" s="100">
        <f t="shared" si="9"/>
        <v>0</v>
      </c>
      <c r="Z104" s="100">
        <f t="shared" si="10"/>
        <v>0</v>
      </c>
    </row>
    <row r="105" spans="6:26">
      <c r="F105" s="4">
        <v>92</v>
      </c>
      <c r="G105" s="4">
        <v>2</v>
      </c>
      <c r="H105" s="4" t="str">
        <v>free state</v>
      </c>
      <c r="I105" s="4" t="str">
        <v>net charge</v>
      </c>
      <c r="K105" s="4">
        <v>92</v>
      </c>
      <c r="L105" s="13">
        <v>3217267.6336595425</v>
      </c>
      <c r="M105" s="13">
        <v>954163.31322392577</v>
      </c>
      <c r="N105" s="13">
        <v>3772567.1907483255</v>
      </c>
      <c r="O105" s="10"/>
      <c r="P105" s="13">
        <f t="shared" si="7"/>
        <v>3217267.6336595425</v>
      </c>
      <c r="Q105" s="13">
        <f t="shared" si="12"/>
        <v>954163.31322392577</v>
      </c>
      <c r="R105" s="13">
        <f t="shared" si="8"/>
        <v>3772567.1907483255</v>
      </c>
      <c r="S105" s="11"/>
      <c r="T105" s="13" cm="1">
        <f t="array" ref="T105">_xlfn.IFS($G105="__overall__",
SUMIFS(PremRes!$G$8:$G$208,PremRes!$B$8:$B$208,$G105,PremRes!$C$8:$C$208,$H105,PremRes!$F$8:$F$208,$I105,PremRes!$D$8:$D$208,T$12),
TRUE,
SUMIFS(PremRes!$G$8:$G$208,PremRes!$B$8:$B$208,"level_"&amp;$G105,PremRes!$C$8:$C$208,$H105,PremRes!$F$8:$F$208,$I105,PremRes!$D$8:$D$208,T$12))</f>
        <v>3217267.6336595435</v>
      </c>
      <c r="U105" s="13" cm="1">
        <f t="array" ref="U105">_xlfn.IFS($G105="__overall__",
SUMIFS(PremRes!$G$8:$G$208,PremRes!$B$8:$B$208,$G105,PremRes!$C$8:$C$208,$H105,PremRes!$F$8:$F$208,$I105,PremRes!$D$8:$D$208,U$12),
TRUE,
SUMIFS(PremRes!$G$8:$G$208,PremRes!$B$8:$B$208,"level_"&amp;$G105,PremRes!$C$8:$C$208,$H105,PremRes!$F$8:$F$208,$I105,PremRes!$D$8:$D$208,U$12))</f>
        <v>954163.31322392577</v>
      </c>
      <c r="V105" s="13" cm="1">
        <f t="array" ref="V105">_xlfn.IFS($G105="__overall__",
SUMIFS(PremRes!$G$8:$G$208,PremRes!$B$8:$B$208,$G105,PremRes!$C$8:$C$208,$H105,PremRes!$F$8:$F$208,$I105,PremRes!$D$8:$D$208,V$12),
TRUE,
SUMIFS(PremRes!$G$8:$G$208,PremRes!$B$8:$B$208,"level_"&amp;$G105,PremRes!$C$8:$C$208,$H105,PremRes!$F$8:$F$208,$I105,PremRes!$D$8:$D$208,V$12))</f>
        <v>3772567.1907483246</v>
      </c>
      <c r="X105" s="100">
        <f t="shared" si="11"/>
        <v>0</v>
      </c>
      <c r="Y105" s="100">
        <f t="shared" si="9"/>
        <v>0</v>
      </c>
      <c r="Z105" s="100">
        <f t="shared" si="10"/>
        <v>0</v>
      </c>
    </row>
    <row r="106" spans="6:26">
      <c r="F106" s="4">
        <v>93</v>
      </c>
      <c r="G106" s="4">
        <v>2</v>
      </c>
      <c r="H106" s="4" t="str">
        <v>free state</v>
      </c>
      <c r="I106" s="4" t="str">
        <v>calculated net charge</v>
      </c>
      <c r="K106" s="4">
        <v>93</v>
      </c>
      <c r="L106" s="13">
        <v>3265753.6984897968</v>
      </c>
      <c r="M106" s="13">
        <v>971760.54279439407</v>
      </c>
      <c r="N106" s="13">
        <v>3831938.586062979</v>
      </c>
      <c r="O106" s="10"/>
      <c r="P106" s="13">
        <f t="shared" si="7"/>
        <v>3265753.6984897968</v>
      </c>
      <c r="Q106" s="13">
        <f t="shared" si="12"/>
        <v>971760.54279439407</v>
      </c>
      <c r="R106" s="13">
        <f t="shared" si="8"/>
        <v>3831938.586062979</v>
      </c>
      <c r="S106" s="11"/>
      <c r="T106" s="13" cm="1">
        <f t="array" ref="T106">_xlfn.IFS($G106="__overall__",
SUMIFS(PremRes!$G$8:$G$208,PremRes!$B$8:$B$208,$G106,PremRes!$C$8:$C$208,$H106,PremRes!$F$8:$F$208,$I106,PremRes!$D$8:$D$208,T$12),
TRUE,
SUMIFS(PremRes!$G$8:$G$208,PremRes!$B$8:$B$208,"level_"&amp;$G106,PremRes!$C$8:$C$208,$H106,PremRes!$F$8:$F$208,$I106,PremRes!$D$8:$D$208,T$12))</f>
        <v>3265753.6984897968</v>
      </c>
      <c r="U106" s="13" cm="1">
        <f t="array" ref="U106">_xlfn.IFS($G106="__overall__",
SUMIFS(PremRes!$G$8:$G$208,PremRes!$B$8:$B$208,$G106,PremRes!$C$8:$C$208,$H106,PremRes!$F$8:$F$208,$I106,PremRes!$D$8:$D$208,U$12),
TRUE,
SUMIFS(PremRes!$G$8:$G$208,PremRes!$B$8:$B$208,"level_"&amp;$G106,PremRes!$C$8:$C$208,$H106,PremRes!$F$8:$F$208,$I106,PremRes!$D$8:$D$208,U$12))</f>
        <v>971760.54279439407</v>
      </c>
      <c r="V106" s="13" cm="1">
        <f t="array" ref="V106">_xlfn.IFS($G106="__overall__",
SUMIFS(PremRes!$G$8:$G$208,PremRes!$B$8:$B$208,$G106,PremRes!$C$8:$C$208,$H106,PremRes!$F$8:$F$208,$I106,PremRes!$D$8:$D$208,V$12),
TRUE,
SUMIFS(PremRes!$G$8:$G$208,PremRes!$B$8:$B$208,"level_"&amp;$G106,PremRes!$C$8:$C$208,$H106,PremRes!$F$8:$F$208,$I106,PremRes!$D$8:$D$208,V$12))</f>
        <v>3831938.586062979</v>
      </c>
      <c r="X106" s="100">
        <f t="shared" si="11"/>
        <v>0</v>
      </c>
      <c r="Y106" s="100">
        <f t="shared" si="9"/>
        <v>0</v>
      </c>
      <c r="Z106" s="100">
        <f t="shared" si="10"/>
        <v>0</v>
      </c>
    </row>
    <row r="107" spans="6:26">
      <c r="F107" s="4">
        <v>94</v>
      </c>
      <c r="G107" s="4">
        <v>2</v>
      </c>
      <c r="H107" s="4" t="str">
        <v>free state</v>
      </c>
      <c r="I107" s="4" t="str">
        <v>company_a</v>
      </c>
      <c r="K107" s="4">
        <v>94</v>
      </c>
      <c r="L107" s="13">
        <v>3479439.7106428673</v>
      </c>
      <c r="M107" s="13">
        <v>1035525.3256669969</v>
      </c>
      <c r="N107" s="13">
        <v>4085109.0525655756</v>
      </c>
      <c r="O107" s="10"/>
      <c r="P107" s="13">
        <f t="shared" si="7"/>
        <v>213686.01215307042</v>
      </c>
      <c r="Q107" s="13">
        <f t="shared" si="12"/>
        <v>63764.782872602809</v>
      </c>
      <c r="R107" s="13">
        <f t="shared" si="8"/>
        <v>253170.46650259662</v>
      </c>
      <c r="S107" s="11"/>
      <c r="T107" s="13" cm="1">
        <f t="array" ref="T107">_xlfn.IFS($G107="__overall__",
SUMIFS(PremRes!$G$8:$G$208,PremRes!$B$8:$B$208,$G107,PremRes!$C$8:$C$208,$H107,PremRes!$F$8:$F$208,$I107,PremRes!$D$8:$D$208,T$12),
TRUE,
SUMIFS(PremRes!$G$8:$G$208,PremRes!$B$8:$B$208,"level_"&amp;$G107,PremRes!$C$8:$C$208,$H107,PremRes!$F$8:$F$208,$I107,PremRes!$D$8:$D$208,T$12))</f>
        <v>213686.01215307042</v>
      </c>
      <c r="U107" s="13" cm="1">
        <f t="array" ref="U107">_xlfn.IFS($G107="__overall__",
SUMIFS(PremRes!$G$8:$G$208,PremRes!$B$8:$B$208,$G107,PremRes!$C$8:$C$208,$H107,PremRes!$F$8:$F$208,$I107,PremRes!$D$8:$D$208,U$12),
TRUE,
SUMIFS(PremRes!$G$8:$G$208,PremRes!$B$8:$B$208,"level_"&amp;$G107,PremRes!$C$8:$C$208,$H107,PremRes!$F$8:$F$208,$I107,PremRes!$D$8:$D$208,U$12))</f>
        <v>63764.782872602693</v>
      </c>
      <c r="V107" s="13" cm="1">
        <f t="array" ref="V107">_xlfn.IFS($G107="__overall__",
SUMIFS(PremRes!$G$8:$G$208,PremRes!$B$8:$B$208,$G107,PremRes!$C$8:$C$208,$H107,PremRes!$F$8:$F$208,$I107,PremRes!$D$8:$D$208,V$12),
TRUE,
SUMIFS(PremRes!$G$8:$G$208,PremRes!$B$8:$B$208,"level_"&amp;$G107,PremRes!$C$8:$C$208,$H107,PremRes!$F$8:$F$208,$I107,PremRes!$D$8:$D$208,V$12))</f>
        <v>253170.46650259662</v>
      </c>
      <c r="X107" s="100">
        <f t="shared" si="11"/>
        <v>0</v>
      </c>
      <c r="Y107" s="100">
        <f t="shared" si="9"/>
        <v>1.1641532182693481E-10</v>
      </c>
      <c r="Z107" s="100">
        <f t="shared" si="10"/>
        <v>0</v>
      </c>
    </row>
    <row r="108" spans="6:26">
      <c r="F108" s="4">
        <v>95</v>
      </c>
      <c r="G108" s="4">
        <v>2</v>
      </c>
      <c r="H108" s="4" t="str">
        <v>free state</v>
      </c>
      <c r="I108" s="4" t="str">
        <v>company_b</v>
      </c>
      <c r="K108" s="4">
        <v>95</v>
      </c>
      <c r="L108" s="13">
        <v>3473281.2459295825</v>
      </c>
      <c r="M108" s="13">
        <v>1049386.7201247802</v>
      </c>
      <c r="N108" s="13">
        <v>4087426.7990231356</v>
      </c>
      <c r="O108" s="10"/>
      <c r="P108" s="13">
        <f t="shared" si="7"/>
        <v>207527.54743978567</v>
      </c>
      <c r="Q108" s="13">
        <f t="shared" si="12"/>
        <v>77626.177330386126</v>
      </c>
      <c r="R108" s="13">
        <f t="shared" si="8"/>
        <v>255488.21296015661</v>
      </c>
      <c r="S108" s="11"/>
      <c r="T108" s="13" cm="1">
        <f t="array" ref="T108">_xlfn.IFS($G108="__overall__",
SUMIFS(PremRes!$G$8:$G$208,PremRes!$B$8:$B$208,$G108,PremRes!$C$8:$C$208,$H108,PremRes!$F$8:$F$208,$I108,PremRes!$D$8:$D$208,T$12),
TRUE,
SUMIFS(PremRes!$G$8:$G$208,PremRes!$B$8:$B$208,"level_"&amp;$G108,PremRes!$C$8:$C$208,$H108,PremRes!$F$8:$F$208,$I108,PremRes!$D$8:$D$208,T$12))</f>
        <v>207527.54743978567</v>
      </c>
      <c r="U108" s="13" cm="1">
        <f t="array" ref="U108">_xlfn.IFS($G108="__overall__",
SUMIFS(PremRes!$G$8:$G$208,PremRes!$B$8:$B$208,$G108,PremRes!$C$8:$C$208,$H108,PremRes!$F$8:$F$208,$I108,PremRes!$D$8:$D$208,U$12),
TRUE,
SUMIFS(PremRes!$G$8:$G$208,PremRes!$B$8:$B$208,"level_"&amp;$G108,PremRes!$C$8:$C$208,$H108,PremRes!$F$8:$F$208,$I108,PremRes!$D$8:$D$208,U$12))</f>
        <v>77626.177330386126</v>
      </c>
      <c r="V108" s="13" cm="1">
        <f t="array" ref="V108">_xlfn.IFS($G108="__overall__",
SUMIFS(PremRes!$G$8:$G$208,PremRes!$B$8:$B$208,$G108,PremRes!$C$8:$C$208,$H108,PremRes!$F$8:$F$208,$I108,PremRes!$D$8:$D$208,V$12),
TRUE,
SUMIFS(PremRes!$G$8:$G$208,PremRes!$B$8:$B$208,"level_"&amp;$G108,PremRes!$C$8:$C$208,$H108,PremRes!$F$8:$F$208,$I108,PremRes!$D$8:$D$208,V$12))</f>
        <v>255488.21296015568</v>
      </c>
      <c r="X108" s="100">
        <f t="shared" si="11"/>
        <v>0</v>
      </c>
      <c r="Y108" s="100">
        <f t="shared" si="9"/>
        <v>0</v>
      </c>
      <c r="Z108" s="100">
        <f t="shared" si="10"/>
        <v>9.3132257461547852E-10</v>
      </c>
    </row>
    <row r="109" spans="6:26">
      <c r="F109" s="4">
        <v>96</v>
      </c>
      <c r="G109" s="4">
        <v>2</v>
      </c>
      <c r="H109" s="4" t="str">
        <v>free state</v>
      </c>
      <c r="I109" s="4" t="str">
        <v>company_c</v>
      </c>
      <c r="K109" s="4">
        <v>96</v>
      </c>
      <c r="L109" s="13">
        <v>3335609.8376963092</v>
      </c>
      <c r="M109" s="13">
        <v>1021983.2388741318</v>
      </c>
      <c r="N109" s="13">
        <v>3932740.2546030981</v>
      </c>
      <c r="O109" s="10"/>
      <c r="P109" s="13">
        <f t="shared" si="7"/>
        <v>69856.139206512365</v>
      </c>
      <c r="Q109" s="13">
        <f t="shared" si="12"/>
        <v>50222.69607973774</v>
      </c>
      <c r="R109" s="13">
        <f t="shared" si="8"/>
        <v>100801.66854011919</v>
      </c>
      <c r="S109" s="11"/>
      <c r="T109" s="13" cm="1">
        <f t="array" ref="T109">_xlfn.IFS($G109="__overall__",
SUMIFS(PremRes!$G$8:$G$208,PremRes!$B$8:$B$208,$G109,PremRes!$C$8:$C$208,$H109,PremRes!$F$8:$F$208,$I109,PremRes!$D$8:$D$208,T$12),
TRUE,
SUMIFS(PremRes!$G$8:$G$208,PremRes!$B$8:$B$208,"level_"&amp;$G109,PremRes!$C$8:$C$208,$H109,PremRes!$F$8:$F$208,$I109,PremRes!$D$8:$D$208,T$12))</f>
        <v>69856.139206512365</v>
      </c>
      <c r="U109" s="13" cm="1">
        <f t="array" ref="U109">_xlfn.IFS($G109="__overall__",
SUMIFS(PremRes!$G$8:$G$208,PremRes!$B$8:$B$208,$G109,PremRes!$C$8:$C$208,$H109,PremRes!$F$8:$F$208,$I109,PremRes!$D$8:$D$208,U$12),
TRUE,
SUMIFS(PremRes!$G$8:$G$208,PremRes!$B$8:$B$208,"level_"&amp;$G109,PremRes!$C$8:$C$208,$H109,PremRes!$F$8:$F$208,$I109,PremRes!$D$8:$D$208,U$12))</f>
        <v>50222.69607973774</v>
      </c>
      <c r="V109" s="13" cm="1">
        <f t="array" ref="V109">_xlfn.IFS($G109="__overall__",
SUMIFS(PremRes!$G$8:$G$208,PremRes!$B$8:$B$208,$G109,PremRes!$C$8:$C$208,$H109,PremRes!$F$8:$F$208,$I109,PremRes!$D$8:$D$208,V$12),
TRUE,
SUMIFS(PremRes!$G$8:$G$208,PremRes!$B$8:$B$208,"level_"&amp;$G109,PremRes!$C$8:$C$208,$H109,PremRes!$F$8:$F$208,$I109,PremRes!$D$8:$D$208,V$12))</f>
        <v>100801.66854011919</v>
      </c>
      <c r="X109" s="100">
        <f t="shared" si="11"/>
        <v>0</v>
      </c>
      <c r="Y109" s="100">
        <f t="shared" si="9"/>
        <v>0</v>
      </c>
      <c r="Z109" s="100">
        <f t="shared" si="10"/>
        <v>0</v>
      </c>
    </row>
    <row r="110" spans="6:26">
      <c r="F110" s="4">
        <v>97</v>
      </c>
      <c r="G110" s="4">
        <v>2</v>
      </c>
      <c r="H110" s="4" t="str">
        <v>free state</v>
      </c>
      <c r="I110" s="4" t="str">
        <v>company_d</v>
      </c>
      <c r="K110" s="4">
        <v>97</v>
      </c>
      <c r="L110" s="13">
        <v>3265753.6984897968</v>
      </c>
      <c r="M110" s="13">
        <v>971760.54279439407</v>
      </c>
      <c r="N110" s="13">
        <v>3831938.586062979</v>
      </c>
      <c r="O110" s="10"/>
      <c r="P110" s="13">
        <f t="shared" si="7"/>
        <v>0</v>
      </c>
      <c r="Q110" s="13">
        <f t="shared" si="12"/>
        <v>0</v>
      </c>
      <c r="R110" s="13">
        <f t="shared" si="8"/>
        <v>0</v>
      </c>
      <c r="S110" s="11"/>
      <c r="T110" s="13" cm="1">
        <f t="array" ref="T110">_xlfn.IFS($G110="__overall__",
SUMIFS(PremRes!$G$8:$G$208,PremRes!$B$8:$B$208,$G110,PremRes!$C$8:$C$208,$H110,PremRes!$F$8:$F$208,$I110,PremRes!$D$8:$D$208,T$12),
TRUE,
SUMIFS(PremRes!$G$8:$G$208,PremRes!$B$8:$B$208,"level_"&amp;$G110,PremRes!$C$8:$C$208,$H110,PremRes!$F$8:$F$208,$I110,PremRes!$D$8:$D$208,T$12))</f>
        <v>0</v>
      </c>
      <c r="U110" s="13" cm="1">
        <f t="array" ref="U110">_xlfn.IFS($G110="__overall__",
SUMIFS(PremRes!$G$8:$G$208,PremRes!$B$8:$B$208,$G110,PremRes!$C$8:$C$208,$H110,PremRes!$F$8:$F$208,$I110,PremRes!$D$8:$D$208,U$12),
TRUE,
SUMIFS(PremRes!$G$8:$G$208,PremRes!$B$8:$B$208,"level_"&amp;$G110,PremRes!$C$8:$C$208,$H110,PremRes!$F$8:$F$208,$I110,PremRes!$D$8:$D$208,U$12))</f>
        <v>0</v>
      </c>
      <c r="V110" s="13" cm="1">
        <f t="array" ref="V110">_xlfn.IFS($G110="__overall__",
SUMIFS(PremRes!$G$8:$G$208,PremRes!$B$8:$B$208,$G110,PremRes!$C$8:$C$208,$H110,PremRes!$F$8:$F$208,$I110,PremRes!$D$8:$D$208,V$12),
TRUE,
SUMIFS(PremRes!$G$8:$G$208,PremRes!$B$8:$B$208,"level_"&amp;$G110,PremRes!$C$8:$C$208,$H110,PremRes!$F$8:$F$208,$I110,PremRes!$D$8:$D$208,V$12))</f>
        <v>0</v>
      </c>
      <c r="X110" s="100">
        <f t="shared" si="11"/>
        <v>0</v>
      </c>
      <c r="Y110" s="100">
        <f t="shared" si="9"/>
        <v>0</v>
      </c>
      <c r="Z110" s="100">
        <f t="shared" si="10"/>
        <v>0</v>
      </c>
    </row>
    <row r="111" spans="6:26">
      <c r="F111" s="4">
        <v>98</v>
      </c>
      <c r="G111" s="4">
        <v>2</v>
      </c>
      <c r="H111" s="4" t="str">
        <v>free state</v>
      </c>
      <c r="I111" s="4" t="str">
        <v>company_e</v>
      </c>
      <c r="K111" s="4">
        <v>98</v>
      </c>
      <c r="L111" s="13">
        <v>3265753.6984897968</v>
      </c>
      <c r="M111" s="13">
        <v>971760.54279439407</v>
      </c>
      <c r="N111" s="13">
        <v>3831938.586062979</v>
      </c>
      <c r="O111" s="10"/>
      <c r="P111" s="13">
        <f t="shared" si="7"/>
        <v>0</v>
      </c>
      <c r="Q111" s="13">
        <f t="shared" si="12"/>
        <v>0</v>
      </c>
      <c r="R111" s="13">
        <f t="shared" si="8"/>
        <v>0</v>
      </c>
      <c r="S111" s="11"/>
      <c r="T111" s="13" cm="1">
        <f t="array" ref="T111">_xlfn.IFS($G111="__overall__",
SUMIFS(PremRes!$G$8:$G$208,PremRes!$B$8:$B$208,$G111,PremRes!$C$8:$C$208,$H111,PremRes!$F$8:$F$208,$I111,PremRes!$D$8:$D$208,T$12),
TRUE,
SUMIFS(PremRes!$G$8:$G$208,PremRes!$B$8:$B$208,"level_"&amp;$G111,PremRes!$C$8:$C$208,$H111,PremRes!$F$8:$F$208,$I111,PremRes!$D$8:$D$208,T$12))</f>
        <v>0</v>
      </c>
      <c r="U111" s="13" cm="1">
        <f t="array" ref="U111">_xlfn.IFS($G111="__overall__",
SUMIFS(PremRes!$G$8:$G$208,PremRes!$B$8:$B$208,$G111,PremRes!$C$8:$C$208,$H111,PremRes!$F$8:$F$208,$I111,PremRes!$D$8:$D$208,U$12),
TRUE,
SUMIFS(PremRes!$G$8:$G$208,PremRes!$B$8:$B$208,"level_"&amp;$G111,PremRes!$C$8:$C$208,$H111,PremRes!$F$8:$F$208,$I111,PremRes!$D$8:$D$208,U$12))</f>
        <v>0</v>
      </c>
      <c r="V111" s="13" cm="1">
        <f t="array" ref="V111">_xlfn.IFS($G111="__overall__",
SUMIFS(PremRes!$G$8:$G$208,PremRes!$B$8:$B$208,$G111,PremRes!$C$8:$C$208,$H111,PremRes!$F$8:$F$208,$I111,PremRes!$D$8:$D$208,V$12),
TRUE,
SUMIFS(PremRes!$G$8:$G$208,PremRes!$B$8:$B$208,"level_"&amp;$G111,PremRes!$C$8:$C$208,$H111,PremRes!$F$8:$F$208,$I111,PremRes!$D$8:$D$208,V$12))</f>
        <v>0</v>
      </c>
      <c r="X111" s="100">
        <f t="shared" si="11"/>
        <v>0</v>
      </c>
      <c r="Y111" s="100">
        <f t="shared" si="9"/>
        <v>0</v>
      </c>
      <c r="Z111" s="100">
        <f t="shared" si="10"/>
        <v>0</v>
      </c>
    </row>
    <row r="112" spans="6:26">
      <c r="F112" s="4">
        <v>99</v>
      </c>
      <c r="G112" s="4">
        <v>2</v>
      </c>
      <c r="H112" s="4" t="str">
        <v>free state</v>
      </c>
      <c r="I112" s="4" t="str">
        <v>company_g</v>
      </c>
      <c r="K112" s="4">
        <v>99</v>
      </c>
      <c r="L112" s="13">
        <v>3265753.6984897968</v>
      </c>
      <c r="M112" s="13">
        <v>971760.54279439407</v>
      </c>
      <c r="N112" s="13">
        <v>3831938.586062979</v>
      </c>
      <c r="O112" s="10"/>
      <c r="P112" s="13">
        <f t="shared" si="7"/>
        <v>0</v>
      </c>
      <c r="Q112" s="13">
        <f t="shared" si="12"/>
        <v>0</v>
      </c>
      <c r="R112" s="13">
        <f t="shared" si="8"/>
        <v>0</v>
      </c>
      <c r="S112" s="11"/>
      <c r="T112" s="13" cm="1">
        <f t="array" ref="T112">_xlfn.IFS($G112="__overall__",
SUMIFS(PremRes!$G$8:$G$208,PremRes!$B$8:$B$208,$G112,PremRes!$C$8:$C$208,$H112,PremRes!$F$8:$F$208,$I112,PremRes!$D$8:$D$208,T$12),
TRUE,
SUMIFS(PremRes!$G$8:$G$208,PremRes!$B$8:$B$208,"level_"&amp;$G112,PremRes!$C$8:$C$208,$H112,PremRes!$F$8:$F$208,$I112,PremRes!$D$8:$D$208,T$12))</f>
        <v>0</v>
      </c>
      <c r="U112" s="13" cm="1">
        <f t="array" ref="U112">_xlfn.IFS($G112="__overall__",
SUMIFS(PremRes!$G$8:$G$208,PremRes!$B$8:$B$208,$G112,PremRes!$C$8:$C$208,$H112,PremRes!$F$8:$F$208,$I112,PremRes!$D$8:$D$208,U$12),
TRUE,
SUMIFS(PremRes!$G$8:$G$208,PremRes!$B$8:$B$208,"level_"&amp;$G112,PremRes!$C$8:$C$208,$H112,PremRes!$F$8:$F$208,$I112,PremRes!$D$8:$D$208,U$12))</f>
        <v>0</v>
      </c>
      <c r="V112" s="13" cm="1">
        <f t="array" ref="V112">_xlfn.IFS($G112="__overall__",
SUMIFS(PremRes!$G$8:$G$208,PremRes!$B$8:$B$208,$G112,PremRes!$C$8:$C$208,$H112,PremRes!$F$8:$F$208,$I112,PremRes!$D$8:$D$208,V$12),
TRUE,
SUMIFS(PremRes!$G$8:$G$208,PremRes!$B$8:$B$208,"level_"&amp;$G112,PremRes!$C$8:$C$208,$H112,PremRes!$F$8:$F$208,$I112,PremRes!$D$8:$D$208,V$12))</f>
        <v>0</v>
      </c>
      <c r="X112" s="100">
        <f t="shared" si="11"/>
        <v>0</v>
      </c>
      <c r="Y112" s="100">
        <f t="shared" si="9"/>
        <v>0</v>
      </c>
      <c r="Z112" s="100">
        <f t="shared" si="10"/>
        <v>0</v>
      </c>
    </row>
    <row r="113" spans="6:26">
      <c r="F113" s="4">
        <v>100</v>
      </c>
      <c r="G113" s="4">
        <v>2</v>
      </c>
      <c r="H113" s="4" t="str">
        <v>eastern cape</v>
      </c>
      <c r="I113" s="4" t="str">
        <v>gross charge</v>
      </c>
      <c r="K113" s="4">
        <v>100</v>
      </c>
      <c r="L113" s="13">
        <v>2127558.12655959</v>
      </c>
      <c r="M113" s="13">
        <v>1027948.0971655734</v>
      </c>
      <c r="N113" s="13">
        <v>2779270.8014661027</v>
      </c>
      <c r="O113" s="10"/>
      <c r="P113" s="13">
        <f t="shared" si="7"/>
        <v>2127558.12655959</v>
      </c>
      <c r="Q113" s="13">
        <f t="shared" si="12"/>
        <v>1027948.0971655734</v>
      </c>
      <c r="R113" s="13">
        <f t="shared" si="8"/>
        <v>2779270.8014661027</v>
      </c>
      <c r="S113" s="11"/>
      <c r="T113" s="13" cm="1">
        <f t="array" ref="T113">_xlfn.IFS($G113="__overall__",
SUMIFS(PremRes!$G$8:$G$208,PremRes!$B$8:$B$208,$G113,PremRes!$C$8:$C$208,$H113,PremRes!$F$8:$F$208,$I113,PremRes!$D$8:$D$208,T$12),
TRUE,
SUMIFS(PremRes!$G$8:$G$208,PremRes!$B$8:$B$208,"level_"&amp;$G113,PremRes!$C$8:$C$208,$H113,PremRes!$F$8:$F$208,$I113,PremRes!$D$8:$D$208,T$12))</f>
        <v>2127558.1265595895</v>
      </c>
      <c r="U113" s="13" cm="1">
        <f t="array" ref="U113">_xlfn.IFS($G113="__overall__",
SUMIFS(PremRes!$G$8:$G$208,PremRes!$B$8:$B$208,$G113,PremRes!$C$8:$C$208,$H113,PremRes!$F$8:$F$208,$I113,PremRes!$D$8:$D$208,U$12),
TRUE,
SUMIFS(PremRes!$G$8:$G$208,PremRes!$B$8:$B$208,"level_"&amp;$G113,PremRes!$C$8:$C$208,$H113,PremRes!$F$8:$F$208,$I113,PremRes!$D$8:$D$208,U$12))</f>
        <v>1027948.0971655734</v>
      </c>
      <c r="V113" s="13" cm="1">
        <f t="array" ref="V113">_xlfn.IFS($G113="__overall__",
SUMIFS(PremRes!$G$8:$G$208,PremRes!$B$8:$B$208,$G113,PremRes!$C$8:$C$208,$H113,PremRes!$F$8:$F$208,$I113,PremRes!$D$8:$D$208,V$12),
TRUE,
SUMIFS(PremRes!$G$8:$G$208,PremRes!$B$8:$B$208,"level_"&amp;$G113,PremRes!$C$8:$C$208,$H113,PremRes!$F$8:$F$208,$I113,PremRes!$D$8:$D$208,V$12))</f>
        <v>2779270.8014661032</v>
      </c>
      <c r="X113" s="100">
        <f t="shared" si="11"/>
        <v>0</v>
      </c>
      <c r="Y113" s="100">
        <f t="shared" si="9"/>
        <v>0</v>
      </c>
      <c r="Z113" s="100">
        <f t="shared" si="10"/>
        <v>0</v>
      </c>
    </row>
    <row r="114" spans="6:26">
      <c r="F114" s="4">
        <v>101</v>
      </c>
      <c r="G114" s="4">
        <v>2</v>
      </c>
      <c r="H114" s="4" t="str">
        <v>eastern cape</v>
      </c>
      <c r="I114" s="4" t="str">
        <v>net charge</v>
      </c>
      <c r="K114" s="4">
        <v>101</v>
      </c>
      <c r="L114" s="13">
        <v>1983818.8876473862</v>
      </c>
      <c r="M114" s="13">
        <v>947334.54987405194</v>
      </c>
      <c r="N114" s="13">
        <v>2581314.7842029901</v>
      </c>
      <c r="O114" s="10"/>
      <c r="P114" s="13">
        <f t="shared" si="7"/>
        <v>1983818.8876473862</v>
      </c>
      <c r="Q114" s="13">
        <f t="shared" si="12"/>
        <v>947334.54987405194</v>
      </c>
      <c r="R114" s="13">
        <f t="shared" si="8"/>
        <v>2581314.7842029901</v>
      </c>
      <c r="S114" s="11"/>
      <c r="T114" s="13" cm="1">
        <f t="array" ref="T114">_xlfn.IFS($G114="__overall__",
SUMIFS(PremRes!$G$8:$G$208,PremRes!$B$8:$B$208,$G114,PremRes!$C$8:$C$208,$H114,PremRes!$F$8:$F$208,$I114,PremRes!$D$8:$D$208,T$12),
TRUE,
SUMIFS(PremRes!$G$8:$G$208,PremRes!$B$8:$B$208,"level_"&amp;$G114,PremRes!$C$8:$C$208,$H114,PremRes!$F$8:$F$208,$I114,PremRes!$D$8:$D$208,T$12))</f>
        <v>1983818.8876473857</v>
      </c>
      <c r="U114" s="13" cm="1">
        <f t="array" ref="U114">_xlfn.IFS($G114="__overall__",
SUMIFS(PremRes!$G$8:$G$208,PremRes!$B$8:$B$208,$G114,PremRes!$C$8:$C$208,$H114,PremRes!$F$8:$F$208,$I114,PremRes!$D$8:$D$208,U$12),
TRUE,
SUMIFS(PremRes!$G$8:$G$208,PremRes!$B$8:$B$208,"level_"&amp;$G114,PremRes!$C$8:$C$208,$H114,PremRes!$F$8:$F$208,$I114,PremRes!$D$8:$D$208,U$12))</f>
        <v>947334.54987405194</v>
      </c>
      <c r="V114" s="13" cm="1">
        <f t="array" ref="V114">_xlfn.IFS($G114="__overall__",
SUMIFS(PremRes!$G$8:$G$208,PremRes!$B$8:$B$208,$G114,PremRes!$C$8:$C$208,$H114,PremRes!$F$8:$F$208,$I114,PremRes!$D$8:$D$208,V$12),
TRUE,
SUMIFS(PremRes!$G$8:$G$208,PremRes!$B$8:$B$208,"level_"&amp;$G114,PremRes!$C$8:$C$208,$H114,PremRes!$F$8:$F$208,$I114,PremRes!$D$8:$D$208,V$12))</f>
        <v>2581314.7842029906</v>
      </c>
      <c r="X114" s="100">
        <f t="shared" si="11"/>
        <v>0</v>
      </c>
      <c r="Y114" s="100">
        <f t="shared" si="9"/>
        <v>0</v>
      </c>
      <c r="Z114" s="100">
        <f t="shared" si="10"/>
        <v>0</v>
      </c>
    </row>
    <row r="115" spans="6:26">
      <c r="F115" s="4">
        <v>102</v>
      </c>
      <c r="G115" s="4">
        <v>2</v>
      </c>
      <c r="H115" s="4" t="str">
        <v>eastern cape</v>
      </c>
      <c r="I115" s="4" t="str">
        <v>calculated net charge</v>
      </c>
      <c r="K115" s="4">
        <v>102</v>
      </c>
      <c r="L115" s="13">
        <v>1993206.0317080151</v>
      </c>
      <c r="M115" s="13">
        <v>952618.01922201412</v>
      </c>
      <c r="N115" s="13">
        <v>2594263.1415814208</v>
      </c>
      <c r="O115" s="10"/>
      <c r="P115" s="13">
        <f t="shared" si="7"/>
        <v>1993206.0317080151</v>
      </c>
      <c r="Q115" s="13">
        <f t="shared" si="12"/>
        <v>952618.01922201412</v>
      </c>
      <c r="R115" s="13">
        <f t="shared" si="8"/>
        <v>2594263.1415814208</v>
      </c>
      <c r="S115" s="11"/>
      <c r="T115" s="13" cm="1">
        <f t="array" ref="T115">_xlfn.IFS($G115="__overall__",
SUMIFS(PremRes!$G$8:$G$208,PremRes!$B$8:$B$208,$G115,PremRes!$C$8:$C$208,$H115,PremRes!$F$8:$F$208,$I115,PremRes!$D$8:$D$208,T$12),
TRUE,
SUMIFS(PremRes!$G$8:$G$208,PremRes!$B$8:$B$208,"level_"&amp;$G115,PremRes!$C$8:$C$208,$H115,PremRes!$F$8:$F$208,$I115,PremRes!$D$8:$D$208,T$12))</f>
        <v>1993206.0317080147</v>
      </c>
      <c r="U115" s="13" cm="1">
        <f t="array" ref="U115">_xlfn.IFS($G115="__overall__",
SUMIFS(PremRes!$G$8:$G$208,PremRes!$B$8:$B$208,$G115,PremRes!$C$8:$C$208,$H115,PremRes!$F$8:$F$208,$I115,PremRes!$D$8:$D$208,U$12),
TRUE,
SUMIFS(PremRes!$G$8:$G$208,PremRes!$B$8:$B$208,"level_"&amp;$G115,PremRes!$C$8:$C$208,$H115,PremRes!$F$8:$F$208,$I115,PremRes!$D$8:$D$208,U$12))</f>
        <v>952618.01922201412</v>
      </c>
      <c r="V115" s="13" cm="1">
        <f t="array" ref="V115">_xlfn.IFS($G115="__overall__",
SUMIFS(PremRes!$G$8:$G$208,PremRes!$B$8:$B$208,$G115,PremRes!$C$8:$C$208,$H115,PremRes!$F$8:$F$208,$I115,PremRes!$D$8:$D$208,V$12),
TRUE,
SUMIFS(PremRes!$G$8:$G$208,PremRes!$B$8:$B$208,"level_"&amp;$G115,PremRes!$C$8:$C$208,$H115,PremRes!$F$8:$F$208,$I115,PremRes!$D$8:$D$208,V$12))</f>
        <v>2594263.1415814213</v>
      </c>
      <c r="X115" s="100">
        <f t="shared" si="11"/>
        <v>0</v>
      </c>
      <c r="Y115" s="100">
        <f t="shared" si="9"/>
        <v>0</v>
      </c>
      <c r="Z115" s="100">
        <f t="shared" si="10"/>
        <v>0</v>
      </c>
    </row>
    <row r="116" spans="6:26">
      <c r="F116" s="4">
        <v>103</v>
      </c>
      <c r="G116" s="4">
        <v>2</v>
      </c>
      <c r="H116" s="4" t="str">
        <v>eastern cape</v>
      </c>
      <c r="I116" s="4" t="str">
        <v>company_a</v>
      </c>
      <c r="K116" s="4">
        <v>103</v>
      </c>
      <c r="L116" s="13">
        <v>1993206.0317080151</v>
      </c>
      <c r="M116" s="13">
        <v>952618.01922201412</v>
      </c>
      <c r="N116" s="13">
        <v>2594263.1415814208</v>
      </c>
      <c r="O116" s="10"/>
      <c r="P116" s="13">
        <f t="shared" si="7"/>
        <v>0</v>
      </c>
      <c r="Q116" s="13">
        <f t="shared" si="12"/>
        <v>0</v>
      </c>
      <c r="R116" s="13">
        <f t="shared" si="8"/>
        <v>0</v>
      </c>
      <c r="S116" s="11"/>
      <c r="T116" s="13" cm="1">
        <f t="array" ref="T116">_xlfn.IFS($G116="__overall__",
SUMIFS(PremRes!$G$8:$G$208,PremRes!$B$8:$B$208,$G116,PremRes!$C$8:$C$208,$H116,PremRes!$F$8:$F$208,$I116,PremRes!$D$8:$D$208,T$12),
TRUE,
SUMIFS(PremRes!$G$8:$G$208,PremRes!$B$8:$B$208,"level_"&amp;$G116,PremRes!$C$8:$C$208,$H116,PremRes!$F$8:$F$208,$I116,PremRes!$D$8:$D$208,T$12))</f>
        <v>0</v>
      </c>
      <c r="U116" s="13" cm="1">
        <f t="array" ref="U116">_xlfn.IFS($G116="__overall__",
SUMIFS(PremRes!$G$8:$G$208,PremRes!$B$8:$B$208,$G116,PremRes!$C$8:$C$208,$H116,PremRes!$F$8:$F$208,$I116,PremRes!$D$8:$D$208,U$12),
TRUE,
SUMIFS(PremRes!$G$8:$G$208,PremRes!$B$8:$B$208,"level_"&amp;$G116,PremRes!$C$8:$C$208,$H116,PremRes!$F$8:$F$208,$I116,PremRes!$D$8:$D$208,U$12))</f>
        <v>0</v>
      </c>
      <c r="V116" s="13" cm="1">
        <f t="array" ref="V116">_xlfn.IFS($G116="__overall__",
SUMIFS(PremRes!$G$8:$G$208,PremRes!$B$8:$B$208,$G116,PremRes!$C$8:$C$208,$H116,PremRes!$F$8:$F$208,$I116,PremRes!$D$8:$D$208,V$12),
TRUE,
SUMIFS(PremRes!$G$8:$G$208,PremRes!$B$8:$B$208,"level_"&amp;$G116,PremRes!$C$8:$C$208,$H116,PremRes!$F$8:$F$208,$I116,PremRes!$D$8:$D$208,V$12))</f>
        <v>0</v>
      </c>
      <c r="X116" s="100">
        <f t="shared" si="11"/>
        <v>0</v>
      </c>
      <c r="Y116" s="100">
        <f t="shared" si="9"/>
        <v>0</v>
      </c>
      <c r="Z116" s="100">
        <f t="shared" si="10"/>
        <v>0</v>
      </c>
    </row>
    <row r="117" spans="6:26">
      <c r="F117" s="4">
        <v>104</v>
      </c>
      <c r="G117" s="4">
        <v>2</v>
      </c>
      <c r="H117" s="4" t="str">
        <v>eastern cape</v>
      </c>
      <c r="I117" s="4" t="str">
        <v>company_b</v>
      </c>
      <c r="K117" s="4">
        <v>104</v>
      </c>
      <c r="L117" s="13">
        <v>2040578.2203573631</v>
      </c>
      <c r="M117" s="13">
        <v>979239.42775828275</v>
      </c>
      <c r="N117" s="13">
        <v>2659561.5524682677</v>
      </c>
      <c r="O117" s="10"/>
      <c r="P117" s="13">
        <f t="shared" si="7"/>
        <v>47372.188649347983</v>
      </c>
      <c r="Q117" s="13">
        <f t="shared" si="12"/>
        <v>26621.408536268631</v>
      </c>
      <c r="R117" s="13">
        <f t="shared" si="8"/>
        <v>65298.410886846948</v>
      </c>
      <c r="S117" s="11"/>
      <c r="T117" s="13" cm="1">
        <f t="array" ref="T117">_xlfn.IFS($G117="__overall__",
SUMIFS(PremRes!$G$8:$G$208,PremRes!$B$8:$B$208,$G117,PremRes!$C$8:$C$208,$H117,PremRes!$F$8:$F$208,$I117,PremRes!$D$8:$D$208,T$12),
TRUE,
SUMIFS(PremRes!$G$8:$G$208,PremRes!$B$8:$B$208,"level_"&amp;$G117,PremRes!$C$8:$C$208,$H117,PremRes!$F$8:$F$208,$I117,PremRes!$D$8:$D$208,T$12))</f>
        <v>47372.188649348449</v>
      </c>
      <c r="U117" s="13" cm="1">
        <f t="array" ref="U117">_xlfn.IFS($G117="__overall__",
SUMIFS(PremRes!$G$8:$G$208,PremRes!$B$8:$B$208,$G117,PremRes!$C$8:$C$208,$H117,PremRes!$F$8:$F$208,$I117,PremRes!$D$8:$D$208,U$12),
TRUE,
SUMIFS(PremRes!$G$8:$G$208,PremRes!$B$8:$B$208,"level_"&amp;$G117,PremRes!$C$8:$C$208,$H117,PremRes!$F$8:$F$208,$I117,PremRes!$D$8:$D$208,U$12))</f>
        <v>26621.408536268864</v>
      </c>
      <c r="V117" s="13" cm="1">
        <f t="array" ref="V117">_xlfn.IFS($G117="__overall__",
SUMIFS(PremRes!$G$8:$G$208,PremRes!$B$8:$B$208,$G117,PremRes!$C$8:$C$208,$H117,PremRes!$F$8:$F$208,$I117,PremRes!$D$8:$D$208,V$12),
TRUE,
SUMIFS(PremRes!$G$8:$G$208,PremRes!$B$8:$B$208,"level_"&amp;$G117,PremRes!$C$8:$C$208,$H117,PremRes!$F$8:$F$208,$I117,PremRes!$D$8:$D$208,V$12))</f>
        <v>65298.410886846483</v>
      </c>
      <c r="X117" s="100">
        <f t="shared" si="11"/>
        <v>-4.6566128730773926E-10</v>
      </c>
      <c r="Y117" s="100">
        <f t="shared" si="9"/>
        <v>-2.3283064365386963E-10</v>
      </c>
      <c r="Z117" s="100">
        <f t="shared" si="10"/>
        <v>4.6566128730773926E-10</v>
      </c>
    </row>
    <row r="118" spans="6:26">
      <c r="F118" s="4">
        <v>105</v>
      </c>
      <c r="G118" s="4">
        <v>2</v>
      </c>
      <c r="H118" s="4" t="str">
        <v>eastern cape</v>
      </c>
      <c r="I118" s="4" t="str">
        <v>company_c</v>
      </c>
      <c r="K118" s="4">
        <v>105</v>
      </c>
      <c r="L118" s="13">
        <v>2078975.8092416162</v>
      </c>
      <c r="M118" s="13">
        <v>1000768.376082975</v>
      </c>
      <c r="N118" s="13">
        <v>2712436.0016097333</v>
      </c>
      <c r="O118" s="10"/>
      <c r="P118" s="13">
        <f t="shared" si="7"/>
        <v>85769.777533601038</v>
      </c>
      <c r="Q118" s="13">
        <f t="shared" si="12"/>
        <v>48150.356860960834</v>
      </c>
      <c r="R118" s="13">
        <f t="shared" si="8"/>
        <v>118172.86002831254</v>
      </c>
      <c r="S118" s="11"/>
      <c r="T118" s="13" cm="1">
        <f t="array" ref="T118">_xlfn.IFS($G118="__overall__",
SUMIFS(PremRes!$G$8:$G$208,PremRes!$B$8:$B$208,$G118,PremRes!$C$8:$C$208,$H118,PremRes!$F$8:$F$208,$I118,PremRes!$D$8:$D$208,T$12),
TRUE,
SUMIFS(PremRes!$G$8:$G$208,PremRes!$B$8:$B$208,"level_"&amp;$G118,PremRes!$C$8:$C$208,$H118,PremRes!$F$8:$F$208,$I118,PremRes!$D$8:$D$208,T$12))</f>
        <v>85769.777533601504</v>
      </c>
      <c r="U118" s="13" cm="1">
        <f t="array" ref="U118">_xlfn.IFS($G118="__overall__",
SUMIFS(PremRes!$G$8:$G$208,PremRes!$B$8:$B$208,$G118,PremRes!$C$8:$C$208,$H118,PremRes!$F$8:$F$208,$I118,PremRes!$D$8:$D$208,U$12),
TRUE,
SUMIFS(PremRes!$G$8:$G$208,PremRes!$B$8:$B$208,"level_"&amp;$G118,PremRes!$C$8:$C$208,$H118,PremRes!$F$8:$F$208,$I118,PremRes!$D$8:$D$208,U$12))</f>
        <v>48150.356860960717</v>
      </c>
      <c r="V118" s="13" cm="1">
        <f t="array" ref="V118">_xlfn.IFS($G118="__overall__",
SUMIFS(PremRes!$G$8:$G$208,PremRes!$B$8:$B$208,$G118,PremRes!$C$8:$C$208,$H118,PremRes!$F$8:$F$208,$I118,PremRes!$D$8:$D$208,V$12),
TRUE,
SUMIFS(PremRes!$G$8:$G$208,PremRes!$B$8:$B$208,"level_"&amp;$G118,PremRes!$C$8:$C$208,$H118,PremRes!$F$8:$F$208,$I118,PremRes!$D$8:$D$208,V$12))</f>
        <v>118172.86002831254</v>
      </c>
      <c r="X118" s="100">
        <f t="shared" si="11"/>
        <v>-4.6566128730773926E-10</v>
      </c>
      <c r="Y118" s="100">
        <f t="shared" si="9"/>
        <v>1.1641532182693481E-10</v>
      </c>
      <c r="Z118" s="100">
        <f t="shared" si="10"/>
        <v>0</v>
      </c>
    </row>
    <row r="119" spans="6:26">
      <c r="F119" s="4">
        <v>106</v>
      </c>
      <c r="G119" s="4">
        <v>2</v>
      </c>
      <c r="H119" s="4" t="str">
        <v>eastern cape</v>
      </c>
      <c r="I119" s="4" t="str">
        <v>company_d</v>
      </c>
      <c r="K119" s="4">
        <v>106</v>
      </c>
      <c r="L119" s="13">
        <v>1993206.0317080151</v>
      </c>
      <c r="M119" s="13">
        <v>952618.01922201412</v>
      </c>
      <c r="N119" s="13">
        <v>2594263.1415814208</v>
      </c>
      <c r="O119" s="10"/>
      <c r="P119" s="13">
        <f t="shared" si="7"/>
        <v>0</v>
      </c>
      <c r="Q119" s="13">
        <f t="shared" si="12"/>
        <v>0</v>
      </c>
      <c r="R119" s="13">
        <f t="shared" si="8"/>
        <v>0</v>
      </c>
      <c r="S119" s="11"/>
      <c r="T119" s="13" cm="1">
        <f t="array" ref="T119">_xlfn.IFS($G119="__overall__",
SUMIFS(PremRes!$G$8:$G$208,PremRes!$B$8:$B$208,$G119,PremRes!$C$8:$C$208,$H119,PremRes!$F$8:$F$208,$I119,PremRes!$D$8:$D$208,T$12),
TRUE,
SUMIFS(PremRes!$G$8:$G$208,PremRes!$B$8:$B$208,"level_"&amp;$G119,PremRes!$C$8:$C$208,$H119,PremRes!$F$8:$F$208,$I119,PremRes!$D$8:$D$208,T$12))</f>
        <v>0</v>
      </c>
      <c r="U119" s="13" cm="1">
        <f t="array" ref="U119">_xlfn.IFS($G119="__overall__",
SUMIFS(PremRes!$G$8:$G$208,PremRes!$B$8:$B$208,$G119,PremRes!$C$8:$C$208,$H119,PremRes!$F$8:$F$208,$I119,PremRes!$D$8:$D$208,U$12),
TRUE,
SUMIFS(PremRes!$G$8:$G$208,PremRes!$B$8:$B$208,"level_"&amp;$G119,PremRes!$C$8:$C$208,$H119,PremRes!$F$8:$F$208,$I119,PremRes!$D$8:$D$208,U$12))</f>
        <v>0</v>
      </c>
      <c r="V119" s="13" cm="1">
        <f t="array" ref="V119">_xlfn.IFS($G119="__overall__",
SUMIFS(PremRes!$G$8:$G$208,PremRes!$B$8:$B$208,$G119,PremRes!$C$8:$C$208,$H119,PremRes!$F$8:$F$208,$I119,PremRes!$D$8:$D$208,V$12),
TRUE,
SUMIFS(PremRes!$G$8:$G$208,PremRes!$B$8:$B$208,"level_"&amp;$G119,PremRes!$C$8:$C$208,$H119,PremRes!$F$8:$F$208,$I119,PremRes!$D$8:$D$208,V$12))</f>
        <v>0</v>
      </c>
      <c r="X119" s="100">
        <f t="shared" si="11"/>
        <v>0</v>
      </c>
      <c r="Y119" s="100">
        <f t="shared" si="9"/>
        <v>0</v>
      </c>
      <c r="Z119" s="100">
        <f t="shared" si="10"/>
        <v>0</v>
      </c>
    </row>
    <row r="120" spans="6:26">
      <c r="F120" s="4">
        <v>107</v>
      </c>
      <c r="G120" s="4">
        <v>2</v>
      </c>
      <c r="H120" s="4" t="str">
        <v>eastern cape</v>
      </c>
      <c r="I120" s="4" t="str">
        <v>company_e</v>
      </c>
      <c r="K120" s="4">
        <v>107</v>
      </c>
      <c r="L120" s="13">
        <v>1993206.0317080151</v>
      </c>
      <c r="M120" s="13">
        <v>952618.01922201412</v>
      </c>
      <c r="N120" s="13">
        <v>2594263.1415814208</v>
      </c>
      <c r="O120" s="10"/>
      <c r="P120" s="13">
        <f t="shared" si="7"/>
        <v>0</v>
      </c>
      <c r="Q120" s="13">
        <f t="shared" si="12"/>
        <v>0</v>
      </c>
      <c r="R120" s="13">
        <f t="shared" si="8"/>
        <v>0</v>
      </c>
      <c r="S120" s="11"/>
      <c r="T120" s="13" cm="1">
        <f t="array" ref="T120">_xlfn.IFS($G120="__overall__",
SUMIFS(PremRes!$G$8:$G$208,PremRes!$B$8:$B$208,$G120,PremRes!$C$8:$C$208,$H120,PremRes!$F$8:$F$208,$I120,PremRes!$D$8:$D$208,T$12),
TRUE,
SUMIFS(PremRes!$G$8:$G$208,PremRes!$B$8:$B$208,"level_"&amp;$G120,PremRes!$C$8:$C$208,$H120,PremRes!$F$8:$F$208,$I120,PremRes!$D$8:$D$208,T$12))</f>
        <v>0</v>
      </c>
      <c r="U120" s="13" cm="1">
        <f t="array" ref="U120">_xlfn.IFS($G120="__overall__",
SUMIFS(PremRes!$G$8:$G$208,PremRes!$B$8:$B$208,$G120,PremRes!$C$8:$C$208,$H120,PremRes!$F$8:$F$208,$I120,PremRes!$D$8:$D$208,U$12),
TRUE,
SUMIFS(PremRes!$G$8:$G$208,PremRes!$B$8:$B$208,"level_"&amp;$G120,PremRes!$C$8:$C$208,$H120,PremRes!$F$8:$F$208,$I120,PremRes!$D$8:$D$208,U$12))</f>
        <v>0</v>
      </c>
      <c r="V120" s="13" cm="1">
        <f t="array" ref="V120">_xlfn.IFS($G120="__overall__",
SUMIFS(PremRes!$G$8:$G$208,PremRes!$B$8:$B$208,$G120,PremRes!$C$8:$C$208,$H120,PremRes!$F$8:$F$208,$I120,PremRes!$D$8:$D$208,V$12),
TRUE,
SUMIFS(PremRes!$G$8:$G$208,PremRes!$B$8:$B$208,"level_"&amp;$G120,PremRes!$C$8:$C$208,$H120,PremRes!$F$8:$F$208,$I120,PremRes!$D$8:$D$208,V$12))</f>
        <v>0</v>
      </c>
      <c r="X120" s="100">
        <f t="shared" si="11"/>
        <v>0</v>
      </c>
      <c r="Y120" s="100">
        <f t="shared" si="9"/>
        <v>0</v>
      </c>
      <c r="Z120" s="100">
        <f t="shared" si="10"/>
        <v>0</v>
      </c>
    </row>
    <row r="121" spans="6:26">
      <c r="F121" s="4">
        <v>108</v>
      </c>
      <c r="G121" s="4">
        <v>2</v>
      </c>
      <c r="H121" s="4" t="str">
        <v>eastern cape</v>
      </c>
      <c r="I121" s="4" t="str">
        <v>company_g</v>
      </c>
      <c r="K121" s="4">
        <v>108</v>
      </c>
      <c r="L121" s="13">
        <v>1993206.0317080151</v>
      </c>
      <c r="M121" s="13">
        <v>952618.01922201412</v>
      </c>
      <c r="N121" s="13">
        <v>2594263.1415814208</v>
      </c>
      <c r="O121" s="10"/>
      <c r="P121" s="13">
        <f t="shared" si="7"/>
        <v>0</v>
      </c>
      <c r="Q121" s="13">
        <f t="shared" si="12"/>
        <v>0</v>
      </c>
      <c r="R121" s="13">
        <f t="shared" si="8"/>
        <v>0</v>
      </c>
      <c r="S121" s="11"/>
      <c r="T121" s="13" cm="1">
        <f t="array" ref="T121">_xlfn.IFS($G121="__overall__",
SUMIFS(PremRes!$G$8:$G$208,PremRes!$B$8:$B$208,$G121,PremRes!$C$8:$C$208,$H121,PremRes!$F$8:$F$208,$I121,PremRes!$D$8:$D$208,T$12),
TRUE,
SUMIFS(PremRes!$G$8:$G$208,PremRes!$B$8:$B$208,"level_"&amp;$G121,PremRes!$C$8:$C$208,$H121,PremRes!$F$8:$F$208,$I121,PremRes!$D$8:$D$208,T$12))</f>
        <v>0</v>
      </c>
      <c r="U121" s="13" cm="1">
        <f t="array" ref="U121">_xlfn.IFS($G121="__overall__",
SUMIFS(PremRes!$G$8:$G$208,PremRes!$B$8:$B$208,$G121,PremRes!$C$8:$C$208,$H121,PremRes!$F$8:$F$208,$I121,PremRes!$D$8:$D$208,U$12),
TRUE,
SUMIFS(PremRes!$G$8:$G$208,PremRes!$B$8:$B$208,"level_"&amp;$G121,PremRes!$C$8:$C$208,$H121,PremRes!$F$8:$F$208,$I121,PremRes!$D$8:$D$208,U$12))</f>
        <v>0</v>
      </c>
      <c r="V121" s="13" cm="1">
        <f t="array" ref="V121">_xlfn.IFS($G121="__overall__",
SUMIFS(PremRes!$G$8:$G$208,PremRes!$B$8:$B$208,$G121,PremRes!$C$8:$C$208,$H121,PremRes!$F$8:$F$208,$I121,PremRes!$D$8:$D$208,V$12),
TRUE,
SUMIFS(PremRes!$G$8:$G$208,PremRes!$B$8:$B$208,"level_"&amp;$G121,PremRes!$C$8:$C$208,$H121,PremRes!$F$8:$F$208,$I121,PremRes!$D$8:$D$208,V$12))</f>
        <v>0</v>
      </c>
      <c r="X121" s="100">
        <f t="shared" si="11"/>
        <v>0</v>
      </c>
      <c r="Y121" s="100">
        <f t="shared" si="9"/>
        <v>0</v>
      </c>
      <c r="Z121" s="100">
        <f t="shared" si="10"/>
        <v>0</v>
      </c>
    </row>
    <row r="122" spans="6:26">
      <c r="F122" s="4">
        <v>109</v>
      </c>
      <c r="G122" s="4" t="str">
        <v>__overall__</v>
      </c>
      <c r="H122" s="4" t="str">
        <v>__overall__</v>
      </c>
      <c r="I122" s="4" t="str">
        <v>gross charge</v>
      </c>
      <c r="K122" s="4">
        <v>109</v>
      </c>
      <c r="L122" s="13">
        <v>21543413.259388544</v>
      </c>
      <c r="M122" s="13">
        <v>8348933.3143500201</v>
      </c>
      <c r="N122" s="13">
        <v>26819186.856737502</v>
      </c>
      <c r="O122" s="10"/>
      <c r="P122" s="13">
        <f t="shared" si="7"/>
        <v>21543413.259388544</v>
      </c>
      <c r="Q122" s="13">
        <f t="shared" si="12"/>
        <v>8348933.3143500201</v>
      </c>
      <c r="R122" s="13">
        <f t="shared" si="8"/>
        <v>26819186.856737502</v>
      </c>
      <c r="S122" s="11"/>
      <c r="T122" s="13" cm="1">
        <f t="array" ref="T122">_xlfn.IFS($G122="__overall__",
SUMIFS(PremRes!$G$8:$G$208,PremRes!$B$8:$B$208,$G122,PremRes!$C$8:$C$208,$H122,PremRes!$F$8:$F$208,$I122,PremRes!$D$8:$D$208,T$12),
TRUE,
SUMIFS(PremRes!$G$8:$G$208,PremRes!$B$8:$B$208,"level_"&amp;$G122,PremRes!$C$8:$C$208,$H122,PremRes!$F$8:$F$208,$I122,PremRes!$D$8:$D$208,T$12))</f>
        <v>21543413.259388551</v>
      </c>
      <c r="U122" s="13" cm="1">
        <f t="array" ref="U122">_xlfn.IFS($G122="__overall__",
SUMIFS(PremRes!$G$8:$G$208,PremRes!$B$8:$B$208,$G122,PremRes!$C$8:$C$208,$H122,PremRes!$F$8:$F$208,$I122,PremRes!$D$8:$D$208,U$12),
TRUE,
SUMIFS(PremRes!$G$8:$G$208,PremRes!$B$8:$B$208,"level_"&amp;$G122,PremRes!$C$8:$C$208,$H122,PremRes!$F$8:$F$208,$I122,PremRes!$D$8:$D$208,U$12))</f>
        <v>8348933.314350022</v>
      </c>
      <c r="V122" s="13" cm="1">
        <f t="array" ref="V122">_xlfn.IFS($G122="__overall__",
SUMIFS(PremRes!$G$8:$G$208,PremRes!$B$8:$B$208,$G122,PremRes!$C$8:$C$208,$H122,PremRes!$F$8:$F$208,$I122,PremRes!$D$8:$D$208,V$12),
TRUE,
SUMIFS(PremRes!$G$8:$G$208,PremRes!$B$8:$B$208,"level_"&amp;$G122,PremRes!$C$8:$C$208,$H122,PremRes!$F$8:$F$208,$I122,PremRes!$D$8:$D$208,V$12))</f>
        <v>26819186.856737494</v>
      </c>
      <c r="X122" s="100">
        <f t="shared" si="11"/>
        <v>0</v>
      </c>
      <c r="Y122" s="100">
        <f t="shared" si="9"/>
        <v>0</v>
      </c>
      <c r="Z122" s="100">
        <f t="shared" si="10"/>
        <v>0</v>
      </c>
    </row>
    <row r="123" spans="6:26">
      <c r="F123" s="4">
        <v>110</v>
      </c>
      <c r="G123" s="4" t="str">
        <v>__overall__</v>
      </c>
      <c r="H123" s="4" t="str">
        <v>__overall__</v>
      </c>
      <c r="I123" s="4" t="str">
        <v>net charge</v>
      </c>
      <c r="K123" s="4">
        <v>110</v>
      </c>
      <c r="L123" s="13">
        <v>18827047.430338152</v>
      </c>
      <c r="M123" s="13">
        <v>6952944.639422195</v>
      </c>
      <c r="N123" s="13">
        <v>23162167.347506117</v>
      </c>
      <c r="O123" s="10"/>
      <c r="P123" s="13">
        <f t="shared" si="7"/>
        <v>18827047.430338152</v>
      </c>
      <c r="Q123" s="13">
        <f t="shared" si="12"/>
        <v>6952944.639422195</v>
      </c>
      <c r="R123" s="13">
        <f t="shared" si="8"/>
        <v>23162167.347506117</v>
      </c>
      <c r="S123" s="11"/>
      <c r="T123" s="13" cm="1">
        <f t="array" ref="T123">_xlfn.IFS($G123="__overall__",
SUMIFS(PremRes!$G$8:$G$208,PremRes!$B$8:$B$208,$G123,PremRes!$C$8:$C$208,$H123,PremRes!$F$8:$F$208,$I123,PremRes!$D$8:$D$208,T$12),
TRUE,
SUMIFS(PremRes!$G$8:$G$208,PremRes!$B$8:$B$208,"level_"&amp;$G123,PremRes!$C$8:$C$208,$H123,PremRes!$F$8:$F$208,$I123,PremRes!$D$8:$D$208,T$12))</f>
        <v>18827047.430338152</v>
      </c>
      <c r="U123" s="13" cm="1">
        <f t="array" ref="U123">_xlfn.IFS($G123="__overall__",
SUMIFS(PremRes!$G$8:$G$208,PremRes!$B$8:$B$208,$G123,PremRes!$C$8:$C$208,$H123,PremRes!$F$8:$F$208,$I123,PremRes!$D$8:$D$208,U$12),
TRUE,
SUMIFS(PremRes!$G$8:$G$208,PremRes!$B$8:$B$208,"level_"&amp;$G123,PremRes!$C$8:$C$208,$H123,PremRes!$F$8:$F$208,$I123,PremRes!$D$8:$D$208,U$12))</f>
        <v>6952944.639422195</v>
      </c>
      <c r="V123" s="13" cm="1">
        <f t="array" ref="V123">_xlfn.IFS($G123="__overall__",
SUMIFS(PremRes!$G$8:$G$208,PremRes!$B$8:$B$208,$G123,PremRes!$C$8:$C$208,$H123,PremRes!$F$8:$F$208,$I123,PremRes!$D$8:$D$208,V$12),
TRUE,
SUMIFS(PremRes!$G$8:$G$208,PremRes!$B$8:$B$208,"level_"&amp;$G123,PremRes!$C$8:$C$208,$H123,PremRes!$F$8:$F$208,$I123,PremRes!$D$8:$D$208,V$12))</f>
        <v>23162167.347506128</v>
      </c>
      <c r="X123" s="100">
        <f t="shared" si="11"/>
        <v>0</v>
      </c>
      <c r="Y123" s="100">
        <f t="shared" si="9"/>
        <v>0</v>
      </c>
      <c r="Z123" s="100">
        <f t="shared" si="10"/>
        <v>0</v>
      </c>
    </row>
    <row r="124" spans="6:26">
      <c r="F124" s="4">
        <v>111</v>
      </c>
      <c r="G124" s="4" t="str">
        <v>__overall__</v>
      </c>
      <c r="H124" s="4" t="str">
        <v>__overall__</v>
      </c>
      <c r="I124" s="4" t="str">
        <v>calculated net charge</v>
      </c>
      <c r="K124" s="4">
        <v>111</v>
      </c>
      <c r="L124" s="13">
        <v>18661487.13870424</v>
      </c>
      <c r="M124" s="13">
        <v>7080460.6933393534</v>
      </c>
      <c r="N124" s="13">
        <v>23121389.475048158</v>
      </c>
      <c r="O124" s="10"/>
      <c r="P124" s="13">
        <f t="shared" si="7"/>
        <v>18661487.13870424</v>
      </c>
      <c r="Q124" s="13">
        <f t="shared" si="12"/>
        <v>7080460.6933393534</v>
      </c>
      <c r="R124" s="13">
        <f t="shared" si="8"/>
        <v>23121389.475048158</v>
      </c>
      <c r="S124" s="11"/>
      <c r="T124" s="13" cm="1">
        <f t="array" ref="T124">_xlfn.IFS($G124="__overall__",
SUMIFS(PremRes!$G$8:$G$208,PremRes!$B$8:$B$208,$G124,PremRes!$C$8:$C$208,$H124,PremRes!$F$8:$F$208,$I124,PremRes!$D$8:$D$208,T$12),
TRUE,
SUMIFS(PremRes!$G$8:$G$208,PremRes!$B$8:$B$208,"level_"&amp;$G124,PremRes!$C$8:$C$208,$H124,PremRes!$F$8:$F$208,$I124,PremRes!$D$8:$D$208,T$12))</f>
        <v>18661487.138704251</v>
      </c>
      <c r="U124" s="13" cm="1">
        <f t="array" ref="U124">_xlfn.IFS($G124="__overall__",
SUMIFS(PremRes!$G$8:$G$208,PremRes!$B$8:$B$208,$G124,PremRes!$C$8:$C$208,$H124,PremRes!$F$8:$F$208,$I124,PremRes!$D$8:$D$208,U$12),
TRUE,
SUMIFS(PremRes!$G$8:$G$208,PremRes!$B$8:$B$208,"level_"&amp;$G124,PremRes!$C$8:$C$208,$H124,PremRes!$F$8:$F$208,$I124,PremRes!$D$8:$D$208,U$12))</f>
        <v>7080460.6933393553</v>
      </c>
      <c r="V124" s="13" cm="1">
        <f t="array" ref="V124">_xlfn.IFS($G124="__overall__",
SUMIFS(PremRes!$G$8:$G$208,PremRes!$B$8:$B$208,$G124,PremRes!$C$8:$C$208,$H124,PremRes!$F$8:$F$208,$I124,PremRes!$D$8:$D$208,V$12),
TRUE,
SUMIFS(PremRes!$G$8:$G$208,PremRes!$B$8:$B$208,"level_"&amp;$G124,PremRes!$C$8:$C$208,$H124,PremRes!$F$8:$F$208,$I124,PremRes!$D$8:$D$208,V$12))</f>
        <v>23121389.475048162</v>
      </c>
      <c r="X124" s="100">
        <f t="shared" si="11"/>
        <v>0</v>
      </c>
      <c r="Y124" s="100">
        <f t="shared" si="9"/>
        <v>0</v>
      </c>
      <c r="Z124" s="100">
        <f t="shared" si="10"/>
        <v>0</v>
      </c>
    </row>
    <row r="125" spans="6:26">
      <c r="F125" s="4">
        <v>112</v>
      </c>
      <c r="G125" s="4" t="str">
        <v>__overall__</v>
      </c>
      <c r="H125" s="4" t="str">
        <v>__overall__</v>
      </c>
      <c r="I125" s="4" t="str">
        <v>company_a</v>
      </c>
      <c r="K125" s="4">
        <v>112</v>
      </c>
      <c r="L125" s="13">
        <v>19894725.048117328</v>
      </c>
      <c r="M125" s="13">
        <v>7622479.6066963328</v>
      </c>
      <c r="N125" s="13">
        <v>24704929.322428506</v>
      </c>
      <c r="O125" s="10"/>
      <c r="P125" s="13">
        <f t="shared" si="7"/>
        <v>1233237.9094130881</v>
      </c>
      <c r="Q125" s="13">
        <f t="shared" si="12"/>
        <v>542018.91335697938</v>
      </c>
      <c r="R125" s="13">
        <f t="shared" si="8"/>
        <v>1583539.8473803475</v>
      </c>
      <c r="S125" s="11"/>
      <c r="T125" s="13" cm="1">
        <f t="array" ref="T125">_xlfn.IFS($G125="__overall__",
SUMIFS(PremRes!$G$8:$G$208,PremRes!$B$8:$B$208,$G125,PremRes!$C$8:$C$208,$H125,PremRes!$F$8:$F$208,$I125,PremRes!$D$8:$D$208,T$12),
TRUE,
SUMIFS(PremRes!$G$8:$G$208,PremRes!$B$8:$B$208,"level_"&amp;$G125,PremRes!$C$8:$C$208,$H125,PremRes!$F$8:$F$208,$I125,PremRes!$D$8:$D$208,T$12))</f>
        <v>1233237.9094130695</v>
      </c>
      <c r="U125" s="13" cm="1">
        <f t="array" ref="U125">_xlfn.IFS($G125="__overall__",
SUMIFS(PremRes!$G$8:$G$208,PremRes!$B$8:$B$208,$G125,PremRes!$C$8:$C$208,$H125,PremRes!$F$8:$F$208,$I125,PremRes!$D$8:$D$208,U$12),
TRUE,
SUMIFS(PremRes!$G$8:$G$208,PremRes!$B$8:$B$208,"level_"&amp;$G125,PremRes!$C$8:$C$208,$H125,PremRes!$F$8:$F$208,$I125,PremRes!$D$8:$D$208,U$12))</f>
        <v>542018.91335697845</v>
      </c>
      <c r="V125" s="13" cm="1">
        <f t="array" ref="V125">_xlfn.IFS($G125="__overall__",
SUMIFS(PremRes!$G$8:$G$208,PremRes!$B$8:$B$208,$G125,PremRes!$C$8:$C$208,$H125,PremRes!$F$8:$F$208,$I125,PremRes!$D$8:$D$208,V$12),
TRUE,
SUMIFS(PremRes!$G$8:$G$208,PremRes!$B$8:$B$208,"level_"&amp;$G125,PremRes!$C$8:$C$208,$H125,PremRes!$F$8:$F$208,$I125,PremRes!$D$8:$D$208,V$12))</f>
        <v>1583539.8473803401</v>
      </c>
      <c r="X125" s="100">
        <f t="shared" si="11"/>
        <v>1.862645149230957E-8</v>
      </c>
      <c r="Y125" s="100">
        <f t="shared" si="9"/>
        <v>9.3132257461547852E-10</v>
      </c>
      <c r="Z125" s="100">
        <f t="shared" si="10"/>
        <v>7.4505805969238281E-9</v>
      </c>
    </row>
    <row r="126" spans="6:26">
      <c r="F126" s="4">
        <v>113</v>
      </c>
      <c r="G126" s="4" t="str">
        <v>__overall__</v>
      </c>
      <c r="H126" s="4" t="str">
        <v>__overall__</v>
      </c>
      <c r="I126" s="4" t="str">
        <v>company_b</v>
      </c>
      <c r="K126" s="4">
        <v>113</v>
      </c>
      <c r="L126" s="13">
        <v>19877511.990815006</v>
      </c>
      <c r="M126" s="13">
        <v>7615545.7065510731</v>
      </c>
      <c r="N126" s="13">
        <v>24682228.745016485</v>
      </c>
      <c r="O126" s="10"/>
      <c r="P126" s="13">
        <f t="shared" si="7"/>
        <v>1216024.8521107659</v>
      </c>
      <c r="Q126" s="13">
        <f t="shared" si="12"/>
        <v>535085.01321171969</v>
      </c>
      <c r="R126" s="13">
        <f t="shared" si="8"/>
        <v>1560839.2699683271</v>
      </c>
      <c r="S126" s="11"/>
      <c r="T126" s="13" cm="1">
        <f t="array" ref="T126">_xlfn.IFS($G126="__overall__",
SUMIFS(PremRes!$G$8:$G$208,PremRes!$B$8:$B$208,$G126,PremRes!$C$8:$C$208,$H126,PremRes!$F$8:$F$208,$I126,PremRes!$D$8:$D$208,T$12),
TRUE,
SUMIFS(PremRes!$G$8:$G$208,PremRes!$B$8:$B$208,"level_"&amp;$G126,PremRes!$C$8:$C$208,$H126,PremRes!$F$8:$F$208,$I126,PremRes!$D$8:$D$208,T$12))</f>
        <v>1216024.852110751</v>
      </c>
      <c r="U126" s="13" cm="1">
        <f t="array" ref="U126">_xlfn.IFS($G126="__overall__",
SUMIFS(PremRes!$G$8:$G$208,PremRes!$B$8:$B$208,$G126,PremRes!$C$8:$C$208,$H126,PremRes!$F$8:$F$208,$I126,PremRes!$D$8:$D$208,U$12),
TRUE,
SUMIFS(PremRes!$G$8:$G$208,PremRes!$B$8:$B$208,"level_"&amp;$G126,PremRes!$C$8:$C$208,$H126,PremRes!$F$8:$F$208,$I126,PremRes!$D$8:$D$208,U$12))</f>
        <v>535085.0132117169</v>
      </c>
      <c r="V126" s="13" cm="1">
        <f t="array" ref="V126">_xlfn.IFS($G126="__overall__",
SUMIFS(PremRes!$G$8:$G$208,PremRes!$B$8:$B$208,$G126,PremRes!$C$8:$C$208,$H126,PremRes!$F$8:$F$208,$I126,PremRes!$D$8:$D$208,V$12),
TRUE,
SUMIFS(PremRes!$G$8:$G$208,PremRes!$B$8:$B$208,"level_"&amp;$G126,PremRes!$C$8:$C$208,$H126,PremRes!$F$8:$F$208,$I126,PremRes!$D$8:$D$208,V$12))</f>
        <v>1560839.2699683122</v>
      </c>
      <c r="X126" s="100">
        <f t="shared" si="11"/>
        <v>1.4901161193847656E-8</v>
      </c>
      <c r="Y126" s="100">
        <f t="shared" si="9"/>
        <v>2.7939677238464355E-9</v>
      </c>
      <c r="Z126" s="100">
        <f t="shared" si="10"/>
        <v>1.4901161193847656E-8</v>
      </c>
    </row>
    <row r="127" spans="6:26">
      <c r="F127" s="4">
        <v>114</v>
      </c>
      <c r="G127" s="4" t="str">
        <v>__overall__</v>
      </c>
      <c r="H127" s="4" t="str">
        <v>__overall__</v>
      </c>
      <c r="I127" s="4" t="str">
        <v>company_c</v>
      </c>
      <c r="K127" s="4">
        <v>114</v>
      </c>
      <c r="L127" s="13">
        <v>19080423.94516404</v>
      </c>
      <c r="M127" s="13">
        <v>7266247.1324491408</v>
      </c>
      <c r="N127" s="13">
        <v>23658294.711278416</v>
      </c>
      <c r="O127" s="10"/>
      <c r="P127" s="13">
        <f t="shared" si="7"/>
        <v>418936.80645979941</v>
      </c>
      <c r="Q127" s="13">
        <f t="shared" si="12"/>
        <v>185786.43910978734</v>
      </c>
      <c r="R127" s="13">
        <f t="shared" si="8"/>
        <v>536905.2362302579</v>
      </c>
      <c r="S127" s="11"/>
      <c r="T127" s="13" cm="1">
        <f t="array" ref="T127">_xlfn.IFS($G127="__overall__",
SUMIFS(PremRes!$G$8:$G$208,PremRes!$B$8:$B$208,$G127,PremRes!$C$8:$C$208,$H127,PremRes!$F$8:$F$208,$I127,PremRes!$D$8:$D$208,T$12),
TRUE,
SUMIFS(PremRes!$G$8:$G$208,PremRes!$B$8:$B$208,"level_"&amp;$G127,PremRes!$C$8:$C$208,$H127,PremRes!$F$8:$F$208,$I127,PremRes!$D$8:$D$208,T$12))</f>
        <v>418936.80645979196</v>
      </c>
      <c r="U127" s="13" cm="1">
        <f t="array" ref="U127">_xlfn.IFS($G127="__overall__",
SUMIFS(PremRes!$G$8:$G$208,PremRes!$B$8:$B$208,$G127,PremRes!$C$8:$C$208,$H127,PremRes!$F$8:$F$208,$I127,PremRes!$D$8:$D$208,U$12),
TRUE,
SUMIFS(PremRes!$G$8:$G$208,PremRes!$B$8:$B$208,"level_"&amp;$G127,PremRes!$C$8:$C$208,$H127,PremRes!$F$8:$F$208,$I127,PremRes!$D$8:$D$208,U$12))</f>
        <v>185786.43910978548</v>
      </c>
      <c r="V127" s="13" cm="1">
        <f t="array" ref="V127">_xlfn.IFS($G127="__overall__",
SUMIFS(PremRes!$G$8:$G$208,PremRes!$B$8:$B$208,$G127,PremRes!$C$8:$C$208,$H127,PremRes!$F$8:$F$208,$I127,PremRes!$D$8:$D$208,V$12),
TRUE,
SUMIFS(PremRes!$G$8:$G$208,PremRes!$B$8:$B$208,"level_"&amp;$G127,PremRes!$C$8:$C$208,$H127,PremRes!$F$8:$F$208,$I127,PremRes!$D$8:$D$208,V$12))</f>
        <v>536905.23623025045</v>
      </c>
      <c r="X127" s="100">
        <f t="shared" si="11"/>
        <v>7.4505805969238281E-9</v>
      </c>
      <c r="Y127" s="100">
        <f t="shared" si="9"/>
        <v>1.862645149230957E-9</v>
      </c>
      <c r="Z127" s="100">
        <f t="shared" si="10"/>
        <v>7.4505805969238281E-9</v>
      </c>
    </row>
    <row r="128" spans="6:26">
      <c r="F128" s="4">
        <v>115</v>
      </c>
      <c r="G128" s="4" t="str">
        <v>__overall__</v>
      </c>
      <c r="H128" s="4" t="str">
        <v>__overall__</v>
      </c>
      <c r="I128" s="4" t="str">
        <v>company_d</v>
      </c>
      <c r="K128" s="4">
        <v>115</v>
      </c>
      <c r="L128" s="13">
        <v>18661487.13870424</v>
      </c>
      <c r="M128" s="13">
        <v>7080460.6933393534</v>
      </c>
      <c r="N128" s="13">
        <v>23121389.475048158</v>
      </c>
      <c r="O128" s="10"/>
      <c r="P128" s="13">
        <f t="shared" si="7"/>
        <v>0</v>
      </c>
      <c r="Q128" s="13">
        <f t="shared" si="12"/>
        <v>0</v>
      </c>
      <c r="R128" s="13">
        <f t="shared" si="8"/>
        <v>0</v>
      </c>
      <c r="S128" s="11"/>
      <c r="T128" s="13" cm="1">
        <f t="array" ref="T128">_xlfn.IFS($G128="__overall__",
SUMIFS(PremRes!$G$8:$G$208,PremRes!$B$8:$B$208,$G128,PremRes!$C$8:$C$208,$H128,PremRes!$F$8:$F$208,$I128,PremRes!$D$8:$D$208,T$12),
TRUE,
SUMIFS(PremRes!$G$8:$G$208,PremRes!$B$8:$B$208,"level_"&amp;$G128,PremRes!$C$8:$C$208,$H128,PremRes!$F$8:$F$208,$I128,PremRes!$D$8:$D$208,T$12))</f>
        <v>0</v>
      </c>
      <c r="U128" s="13" cm="1">
        <f t="array" ref="U128">_xlfn.IFS($G128="__overall__",
SUMIFS(PremRes!$G$8:$G$208,PremRes!$B$8:$B$208,$G128,PremRes!$C$8:$C$208,$H128,PremRes!$F$8:$F$208,$I128,PremRes!$D$8:$D$208,U$12),
TRUE,
SUMIFS(PremRes!$G$8:$G$208,PremRes!$B$8:$B$208,"level_"&amp;$G128,PremRes!$C$8:$C$208,$H128,PremRes!$F$8:$F$208,$I128,PremRes!$D$8:$D$208,U$12))</f>
        <v>0</v>
      </c>
      <c r="V128" s="13" cm="1">
        <f t="array" ref="V128">_xlfn.IFS($G128="__overall__",
SUMIFS(PremRes!$G$8:$G$208,PremRes!$B$8:$B$208,$G128,PremRes!$C$8:$C$208,$H128,PremRes!$F$8:$F$208,$I128,PremRes!$D$8:$D$208,V$12),
TRUE,
SUMIFS(PremRes!$G$8:$G$208,PremRes!$B$8:$B$208,"level_"&amp;$G128,PremRes!$C$8:$C$208,$H128,PremRes!$F$8:$F$208,$I128,PremRes!$D$8:$D$208,V$12))</f>
        <v>0</v>
      </c>
      <c r="X128" s="100">
        <f t="shared" si="11"/>
        <v>0</v>
      </c>
      <c r="Y128" s="100">
        <f t="shared" si="9"/>
        <v>0</v>
      </c>
      <c r="Z128" s="100">
        <f t="shared" si="10"/>
        <v>0</v>
      </c>
    </row>
    <row r="129" spans="6:26">
      <c r="F129" s="4">
        <v>116</v>
      </c>
      <c r="G129" s="4" t="str">
        <v>__overall__</v>
      </c>
      <c r="H129" s="4" t="str">
        <v>__overall__</v>
      </c>
      <c r="I129" s="4" t="str">
        <v>company_e</v>
      </c>
      <c r="K129" s="4">
        <v>116</v>
      </c>
      <c r="L129" s="13">
        <v>18661487.13870424</v>
      </c>
      <c r="M129" s="13">
        <v>7080460.6933393534</v>
      </c>
      <c r="N129" s="13">
        <v>23121389.475048158</v>
      </c>
      <c r="O129" s="10"/>
      <c r="P129" s="13">
        <f t="shared" si="7"/>
        <v>0</v>
      </c>
      <c r="Q129" s="13">
        <f t="shared" si="12"/>
        <v>0</v>
      </c>
      <c r="R129" s="13">
        <f t="shared" si="8"/>
        <v>0</v>
      </c>
      <c r="S129" s="11"/>
      <c r="T129" s="13" cm="1">
        <f t="array" ref="T129">_xlfn.IFS($G129="__overall__",
SUMIFS(PremRes!$G$8:$G$208,PremRes!$B$8:$B$208,$G129,PremRes!$C$8:$C$208,$H129,PremRes!$F$8:$F$208,$I129,PremRes!$D$8:$D$208,T$12),
TRUE,
SUMIFS(PremRes!$G$8:$G$208,PremRes!$B$8:$B$208,"level_"&amp;$G129,PremRes!$C$8:$C$208,$H129,PremRes!$F$8:$F$208,$I129,PremRes!$D$8:$D$208,T$12))</f>
        <v>0</v>
      </c>
      <c r="U129" s="13" cm="1">
        <f t="array" ref="U129">_xlfn.IFS($G129="__overall__",
SUMIFS(PremRes!$G$8:$G$208,PremRes!$B$8:$B$208,$G129,PremRes!$C$8:$C$208,$H129,PremRes!$F$8:$F$208,$I129,PremRes!$D$8:$D$208,U$12),
TRUE,
SUMIFS(PremRes!$G$8:$G$208,PremRes!$B$8:$B$208,"level_"&amp;$G129,PremRes!$C$8:$C$208,$H129,PremRes!$F$8:$F$208,$I129,PremRes!$D$8:$D$208,U$12))</f>
        <v>0</v>
      </c>
      <c r="V129" s="13" cm="1">
        <f t="array" ref="V129">_xlfn.IFS($G129="__overall__",
SUMIFS(PremRes!$G$8:$G$208,PremRes!$B$8:$B$208,$G129,PremRes!$C$8:$C$208,$H129,PremRes!$F$8:$F$208,$I129,PremRes!$D$8:$D$208,V$12),
TRUE,
SUMIFS(PremRes!$G$8:$G$208,PremRes!$B$8:$B$208,"level_"&amp;$G129,PremRes!$C$8:$C$208,$H129,PremRes!$F$8:$F$208,$I129,PremRes!$D$8:$D$208,V$12))</f>
        <v>0</v>
      </c>
      <c r="X129" s="100">
        <f t="shared" si="11"/>
        <v>0</v>
      </c>
      <c r="Y129" s="100">
        <f t="shared" si="9"/>
        <v>0</v>
      </c>
      <c r="Z129" s="100">
        <f t="shared" si="10"/>
        <v>0</v>
      </c>
    </row>
    <row r="130" spans="6:26">
      <c r="F130" s="7">
        <v>117</v>
      </c>
      <c r="G130" s="7" t="str">
        <v>__overall__</v>
      </c>
      <c r="H130" s="7" t="str">
        <v>__overall__</v>
      </c>
      <c r="I130" s="7" t="str">
        <v>company_g</v>
      </c>
      <c r="K130" s="7">
        <v>117</v>
      </c>
      <c r="L130" s="86">
        <v>18661487.13870424</v>
      </c>
      <c r="M130" s="86">
        <v>7080460.6933393534</v>
      </c>
      <c r="N130" s="86">
        <v>23121389.475048158</v>
      </c>
      <c r="O130" s="10"/>
      <c r="P130" s="86">
        <f t="shared" si="7"/>
        <v>0</v>
      </c>
      <c r="Q130" s="86">
        <f t="shared" si="12"/>
        <v>0</v>
      </c>
      <c r="R130" s="86">
        <f t="shared" si="8"/>
        <v>0</v>
      </c>
      <c r="S130" s="11"/>
      <c r="T130" s="86" cm="1">
        <f t="array" ref="T130">_xlfn.IFS($G130="__overall__",
SUMIFS(PremRes!$G$8:$G$208,PremRes!$B$8:$B$208,$G130,PremRes!$C$8:$C$208,$H130,PremRes!$F$8:$F$208,$I130,PremRes!$D$8:$D$208,T$12),
TRUE,
SUMIFS(PremRes!$G$8:$G$208,PremRes!$B$8:$B$208,"level_"&amp;$G130,PremRes!$C$8:$C$208,$H130,PremRes!$F$8:$F$208,$I130,PremRes!$D$8:$D$208,T$12))</f>
        <v>0</v>
      </c>
      <c r="U130" s="86" cm="1">
        <f t="array" ref="U130">_xlfn.IFS($G130="__overall__",
SUMIFS(PremRes!$G$8:$G$208,PremRes!$B$8:$B$208,$G130,PremRes!$C$8:$C$208,$H130,PremRes!$F$8:$F$208,$I130,PremRes!$D$8:$D$208,U$12),
TRUE,
SUMIFS(PremRes!$G$8:$G$208,PremRes!$B$8:$B$208,"level_"&amp;$G130,PremRes!$C$8:$C$208,$H130,PremRes!$F$8:$F$208,$I130,PremRes!$D$8:$D$208,U$12))</f>
        <v>0</v>
      </c>
      <c r="V130" s="86" cm="1">
        <f t="array" ref="V130">_xlfn.IFS($G130="__overall__",
SUMIFS(PremRes!$G$8:$G$208,PremRes!$B$8:$B$208,$G130,PremRes!$C$8:$C$208,$H130,PremRes!$F$8:$F$208,$I130,PremRes!$D$8:$D$208,V$12),
TRUE,
SUMIFS(PremRes!$G$8:$G$208,PremRes!$B$8:$B$208,"level_"&amp;$G130,PremRes!$C$8:$C$208,$H130,PremRes!$F$8:$F$208,$I130,PremRes!$D$8:$D$208,V$12))</f>
        <v>0</v>
      </c>
      <c r="X130" s="101">
        <f t="shared" si="11"/>
        <v>0</v>
      </c>
      <c r="Y130" s="101">
        <f t="shared" si="9"/>
        <v>0</v>
      </c>
      <c r="Z130" s="101">
        <f t="shared" si="10"/>
        <v>0</v>
      </c>
    </row>
  </sheetData>
  <mergeCells count="6">
    <mergeCell ref="P10:R10"/>
    <mergeCell ref="T10:V10"/>
    <mergeCell ref="X10:Z10"/>
    <mergeCell ref="A10:B10"/>
    <mergeCell ref="F10:I10"/>
    <mergeCell ref="K10:N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52845-DDDD-47C3-A767-78021B55F872}">
  <sheetPr codeName="Sheet32">
    <tabColor theme="8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404AA-0FE0-41BA-85FF-C88F2208FB03}">
  <sheetPr codeName="Sheet29"/>
  <dimension ref="A1:Q19"/>
  <sheetViews>
    <sheetView workbookViewId="0">
      <pane ySplit="1" topLeftCell="A2" activePane="bottomLeft" state="frozen"/>
      <selection pane="bottomLeft" activeCell="D21" sqref="D21"/>
    </sheetView>
  </sheetViews>
  <sheetFormatPr defaultRowHeight="14.5"/>
  <cols>
    <col min="1" max="1" width="20.6328125" customWidth="1"/>
    <col min="2" max="2" width="35.6328125" customWidth="1"/>
    <col min="3" max="3" width="8.6328125" customWidth="1"/>
    <col min="4" max="4" width="10.6328125" customWidth="1"/>
    <col min="5" max="11" width="12.6328125" customWidth="1"/>
  </cols>
  <sheetData>
    <row r="1" spans="1:17" ht="18.5">
      <c r="A1" s="102" t="s">
        <v>264</v>
      </c>
      <c r="B1" s="102" t="s">
        <v>265</v>
      </c>
      <c r="C1" s="102" t="s">
        <v>189</v>
      </c>
      <c r="D1" s="102" t="s">
        <v>266</v>
      </c>
      <c r="E1" s="102" t="s">
        <v>267</v>
      </c>
      <c r="F1" s="102" t="s">
        <v>268</v>
      </c>
      <c r="G1" s="102" t="s">
        <v>269</v>
      </c>
      <c r="H1" s="102" t="s">
        <v>270</v>
      </c>
      <c r="I1" s="102" t="s">
        <v>271</v>
      </c>
      <c r="J1" s="102" t="s">
        <v>272</v>
      </c>
      <c r="K1" s="102" t="s">
        <v>273</v>
      </c>
      <c r="N1" s="145" t="s">
        <v>263</v>
      </c>
      <c r="O1" s="145"/>
      <c r="P1" s="145"/>
      <c r="Q1" s="145"/>
    </row>
    <row r="2" spans="1:17">
      <c r="A2" s="103" t="s">
        <v>132</v>
      </c>
      <c r="B2" s="103" t="s">
        <v>274</v>
      </c>
      <c r="C2" s="103">
        <v>0</v>
      </c>
      <c r="D2" s="103">
        <v>20</v>
      </c>
      <c r="E2" s="104">
        <v>8.2699999999999991E-5</v>
      </c>
      <c r="F2" s="104">
        <v>4.1349999999999994E-6</v>
      </c>
      <c r="G2" s="104">
        <v>1.3999999999999999E-6</v>
      </c>
      <c r="H2" s="104">
        <v>3.2199999999999997E-5</v>
      </c>
      <c r="I2" s="104">
        <v>6.5096294057342481E-6</v>
      </c>
      <c r="J2" s="105">
        <v>0</v>
      </c>
      <c r="K2" s="103"/>
    </row>
    <row r="3" spans="1:17">
      <c r="A3" s="103" t="s">
        <v>132</v>
      </c>
      <c r="B3" s="103" t="s">
        <v>275</v>
      </c>
      <c r="C3" s="103">
        <v>0</v>
      </c>
      <c r="D3" s="103">
        <v>20</v>
      </c>
      <c r="E3" s="104">
        <v>1.167E-4</v>
      </c>
      <c r="F3" s="104">
        <v>5.835E-6</v>
      </c>
      <c r="G3" s="104">
        <v>3.0000000000000001E-6</v>
      </c>
      <c r="H3" s="104">
        <v>1.0000000000000001E-5</v>
      </c>
      <c r="I3" s="104">
        <v>1.9761768645543815E-6</v>
      </c>
      <c r="J3" s="105">
        <v>5.1908678090134303E-4</v>
      </c>
      <c r="K3" s="106" t="s">
        <v>276</v>
      </c>
      <c r="N3" t="s">
        <v>289</v>
      </c>
      <c r="O3" s="26">
        <v>1</v>
      </c>
    </row>
    <row r="4" spans="1:17">
      <c r="A4" s="103" t="s">
        <v>132</v>
      </c>
      <c r="B4" s="103" t="s">
        <v>277</v>
      </c>
      <c r="C4" s="103">
        <v>0</v>
      </c>
      <c r="D4" s="103">
        <v>20</v>
      </c>
      <c r="E4" s="104">
        <v>2.7408000000000003E-3</v>
      </c>
      <c r="F4" s="104">
        <v>1.3704E-4</v>
      </c>
      <c r="G4" s="104">
        <v>9.2999999999999997E-5</v>
      </c>
      <c r="H4" s="104">
        <v>2.541E-4</v>
      </c>
      <c r="I4" s="104">
        <v>4.1277843935942219E-5</v>
      </c>
      <c r="J4" s="105">
        <v>1.2191200077929744E-2</v>
      </c>
      <c r="K4" s="106" t="s">
        <v>276</v>
      </c>
      <c r="N4" t="s">
        <v>290</v>
      </c>
      <c r="O4" s="26">
        <v>20</v>
      </c>
    </row>
    <row r="5" spans="1:17">
      <c r="A5" s="103" t="s">
        <v>132</v>
      </c>
      <c r="B5" s="103" t="s">
        <v>278</v>
      </c>
      <c r="C5" s="103">
        <v>0</v>
      </c>
      <c r="D5" s="103">
        <v>20</v>
      </c>
      <c r="E5" s="104">
        <v>7.9796000000000016E-3</v>
      </c>
      <c r="F5" s="104">
        <v>3.9898000000000006E-4</v>
      </c>
      <c r="G5" s="104">
        <v>2.5670000000000001E-4</v>
      </c>
      <c r="H5" s="104">
        <v>1.0862000000000001E-3</v>
      </c>
      <c r="I5" s="104">
        <v>1.9160693254681568E-4</v>
      </c>
      <c r="J5" s="105">
        <v>3.5493615054673154E-2</v>
      </c>
      <c r="K5" s="106" t="s">
        <v>276</v>
      </c>
      <c r="N5" t="s">
        <v>291</v>
      </c>
      <c r="O5" s="26">
        <v>200</v>
      </c>
    </row>
    <row r="6" spans="1:17">
      <c r="A6" s="103" t="s">
        <v>132</v>
      </c>
      <c r="B6" s="103" t="s">
        <v>260</v>
      </c>
      <c r="C6" s="103">
        <v>0</v>
      </c>
      <c r="D6" s="103">
        <v>20</v>
      </c>
      <c r="E6" s="104">
        <v>5.0911999999999997E-3</v>
      </c>
      <c r="F6" s="104">
        <v>2.5455999999999998E-4</v>
      </c>
      <c r="G6" s="104">
        <v>4.6E-6</v>
      </c>
      <c r="H6" s="104">
        <v>6.0130000000000003E-4</v>
      </c>
      <c r="I6" s="104">
        <v>2.4997508355834182E-4</v>
      </c>
      <c r="J6" s="105">
        <v>2.264588362403528E-2</v>
      </c>
      <c r="K6" s="106" t="s">
        <v>276</v>
      </c>
      <c r="N6" t="s">
        <v>292</v>
      </c>
      <c r="O6" s="111">
        <v>0.22481789999999993</v>
      </c>
      <c r="P6" t="s">
        <v>293</v>
      </c>
    </row>
    <row r="7" spans="1:17">
      <c r="A7" s="103" t="s">
        <v>132</v>
      </c>
      <c r="B7" s="103" t="s">
        <v>279</v>
      </c>
      <c r="C7" s="103">
        <v>0</v>
      </c>
      <c r="D7" s="103">
        <v>20</v>
      </c>
      <c r="E7" s="104">
        <v>4.7547000000000006E-3</v>
      </c>
      <c r="F7" s="104">
        <v>2.3773500000000004E-4</v>
      </c>
      <c r="G7" s="104">
        <v>1.573E-4</v>
      </c>
      <c r="H7" s="104">
        <v>5.9509999999999999E-4</v>
      </c>
      <c r="I7" s="104">
        <v>8.7940254008047955E-5</v>
      </c>
      <c r="J7" s="105">
        <v>2.114911668510382E-2</v>
      </c>
      <c r="K7" s="106" t="s">
        <v>276</v>
      </c>
      <c r="N7" t="s">
        <v>294</v>
      </c>
      <c r="O7" s="111">
        <v>1.1240894999999997E-2</v>
      </c>
      <c r="P7" t="s">
        <v>293</v>
      </c>
    </row>
    <row r="8" spans="1:17">
      <c r="A8" s="103" t="s">
        <v>132</v>
      </c>
      <c r="B8" s="103" t="s">
        <v>280</v>
      </c>
      <c r="C8" s="103">
        <v>0</v>
      </c>
      <c r="D8" s="103">
        <v>20</v>
      </c>
      <c r="E8" s="104">
        <v>5.6984699999999999E-2</v>
      </c>
      <c r="F8" s="104">
        <v>2.8492349999999999E-3</v>
      </c>
      <c r="G8" s="104">
        <v>2.3804999999999998E-3</v>
      </c>
      <c r="H8" s="104">
        <v>3.7179000000000001E-3</v>
      </c>
      <c r="I8" s="104">
        <v>3.8124124288303193E-4</v>
      </c>
      <c r="J8" s="105">
        <v>0.25347047543812135</v>
      </c>
      <c r="K8" s="107" t="s">
        <v>281</v>
      </c>
      <c r="N8" t="s">
        <v>295</v>
      </c>
      <c r="O8" s="112">
        <v>1</v>
      </c>
    </row>
    <row r="9" spans="1:17">
      <c r="A9" s="103" t="s">
        <v>132</v>
      </c>
      <c r="B9" s="103" t="s">
        <v>282</v>
      </c>
      <c r="C9" s="103">
        <v>0</v>
      </c>
      <c r="D9" s="103">
        <v>20</v>
      </c>
      <c r="E9" s="104">
        <v>8.0765199999999995E-2</v>
      </c>
      <c r="F9" s="104">
        <v>4.0382600000000001E-3</v>
      </c>
      <c r="G9" s="104">
        <v>1.8365E-3</v>
      </c>
      <c r="H9" s="104">
        <v>6.7305999999999998E-3</v>
      </c>
      <c r="I9" s="104">
        <v>1.6268774534057568E-3</v>
      </c>
      <c r="J9" s="105">
        <v>0.35924719517440568</v>
      </c>
      <c r="K9" s="108" t="s">
        <v>283</v>
      </c>
    </row>
    <row r="10" spans="1:17">
      <c r="A10" s="103" t="s">
        <v>132</v>
      </c>
      <c r="B10" s="103" t="s">
        <v>284</v>
      </c>
      <c r="C10" s="103">
        <v>0</v>
      </c>
      <c r="D10" s="103">
        <v>20</v>
      </c>
      <c r="E10" s="104">
        <v>7.3030000000000005E-3</v>
      </c>
      <c r="F10" s="104">
        <v>3.6515000000000001E-4</v>
      </c>
      <c r="G10" s="104">
        <v>5.02E-5</v>
      </c>
      <c r="H10" s="104">
        <v>8.2350000000000001E-4</v>
      </c>
      <c r="I10" s="104">
        <v>3.1194332257639367E-4</v>
      </c>
      <c r="J10" s="105">
        <v>3.2484068216988071E-2</v>
      </c>
      <c r="K10" s="106" t="s">
        <v>276</v>
      </c>
      <c r="N10" s="26" t="s">
        <v>296</v>
      </c>
    </row>
    <row r="11" spans="1:17">
      <c r="A11" s="103" t="s">
        <v>132</v>
      </c>
      <c r="B11" s="103" t="s">
        <v>285</v>
      </c>
      <c r="C11" s="103">
        <v>0</v>
      </c>
      <c r="D11" s="103">
        <v>20</v>
      </c>
      <c r="E11" s="104">
        <v>4.2601800000000002E-2</v>
      </c>
      <c r="F11" s="104">
        <v>2.1300900000000003E-3</v>
      </c>
      <c r="G11" s="104">
        <v>1.0062999999999999E-3</v>
      </c>
      <c r="H11" s="104">
        <v>4.1431000000000003E-3</v>
      </c>
      <c r="I11" s="104">
        <v>1.0261571774830597E-3</v>
      </c>
      <c r="J11" s="105">
        <v>0.18949469770867897</v>
      </c>
      <c r="K11" s="107" t="s">
        <v>281</v>
      </c>
      <c r="N11" s="113" t="s">
        <v>264</v>
      </c>
      <c r="O11" s="113" t="s">
        <v>265</v>
      </c>
      <c r="P11" s="113" t="s">
        <v>267</v>
      </c>
      <c r="Q11" s="113" t="s">
        <v>272</v>
      </c>
    </row>
    <row r="12" spans="1:17">
      <c r="A12" s="103" t="s">
        <v>132</v>
      </c>
      <c r="B12" s="103" t="s">
        <v>286</v>
      </c>
      <c r="C12" s="103">
        <v>0</v>
      </c>
      <c r="D12" s="103">
        <v>20</v>
      </c>
      <c r="E12" s="104">
        <v>1.6480199999999997E-2</v>
      </c>
      <c r="F12" s="104">
        <v>8.240099999999998E-4</v>
      </c>
      <c r="G12" s="104">
        <v>8.7999999999999998E-5</v>
      </c>
      <c r="H12" s="104">
        <v>2.0501E-3</v>
      </c>
      <c r="I12" s="104">
        <v>7.3692953998330155E-4</v>
      </c>
      <c r="J12" s="105">
        <v>7.3304661239162905E-2</v>
      </c>
      <c r="K12" s="109" t="s">
        <v>287</v>
      </c>
      <c r="N12" t="s">
        <v>132</v>
      </c>
      <c r="O12" t="s">
        <v>282</v>
      </c>
      <c r="P12" s="110">
        <v>8.0765199999999995E-2</v>
      </c>
      <c r="Q12" s="115">
        <v>0.35924719517440568</v>
      </c>
    </row>
    <row r="13" spans="1:17">
      <c r="A13" s="103" t="s">
        <v>132</v>
      </c>
      <c r="B13" s="103" t="s">
        <v>288</v>
      </c>
      <c r="C13" s="103">
        <v>0</v>
      </c>
      <c r="D13" s="103">
        <v>20</v>
      </c>
      <c r="E13" s="104">
        <v>0.22481789999999993</v>
      </c>
      <c r="F13" s="104">
        <v>1.1240894999999997E-2</v>
      </c>
      <c r="G13" s="104">
        <v>5.9760999999999998E-3</v>
      </c>
      <c r="H13" s="104">
        <v>1.76796E-2</v>
      </c>
      <c r="I13" s="104">
        <v>3.8643682850467371E-3</v>
      </c>
      <c r="J13" s="105">
        <v>0</v>
      </c>
      <c r="K13" s="103"/>
      <c r="N13" t="s">
        <v>132</v>
      </c>
      <c r="O13" t="s">
        <v>280</v>
      </c>
      <c r="P13" s="110">
        <v>5.6984699999999999E-2</v>
      </c>
      <c r="Q13" s="116">
        <v>0.25347047543812135</v>
      </c>
    </row>
    <row r="14" spans="1:17">
      <c r="N14" t="s">
        <v>132</v>
      </c>
      <c r="O14" t="s">
        <v>285</v>
      </c>
      <c r="P14" s="110">
        <v>4.2601800000000002E-2</v>
      </c>
      <c r="Q14" s="116">
        <v>0.18949469770867897</v>
      </c>
    </row>
    <row r="15" spans="1:17">
      <c r="N15" t="s">
        <v>132</v>
      </c>
      <c r="O15" t="s">
        <v>286</v>
      </c>
      <c r="P15" s="110">
        <v>1.6480199999999997E-2</v>
      </c>
      <c r="Q15" s="114">
        <v>7.3304661239162905E-2</v>
      </c>
    </row>
    <row r="16" spans="1:17" ht="16">
      <c r="A16" s="117" t="s">
        <v>297</v>
      </c>
      <c r="N16" t="s">
        <v>132</v>
      </c>
      <c r="O16" t="s">
        <v>278</v>
      </c>
      <c r="P16" s="110">
        <v>7.9796000000000016E-3</v>
      </c>
      <c r="Q16" s="114">
        <v>3.5493615054673154E-2</v>
      </c>
    </row>
    <row r="18" spans="1:10">
      <c r="A18" s="102" t="s">
        <v>264</v>
      </c>
      <c r="B18" s="102" t="s">
        <v>298</v>
      </c>
      <c r="C18" s="102" t="s">
        <v>299</v>
      </c>
      <c r="D18" s="102" t="s">
        <v>300</v>
      </c>
      <c r="E18" s="102" t="s">
        <v>301</v>
      </c>
      <c r="F18" s="102" t="s">
        <v>302</v>
      </c>
      <c r="G18" s="102" t="s">
        <v>271</v>
      </c>
      <c r="H18" s="102" t="s">
        <v>303</v>
      </c>
      <c r="I18" s="102" t="s">
        <v>272</v>
      </c>
      <c r="J18" s="102" t="s">
        <v>304</v>
      </c>
    </row>
    <row r="19" spans="1:10">
      <c r="A19" s="103" t="s">
        <v>132</v>
      </c>
      <c r="B19" s="103">
        <v>20</v>
      </c>
      <c r="C19" s="104">
        <v>0.22481789999999993</v>
      </c>
      <c r="D19" s="104">
        <v>1.1240894999999997E-2</v>
      </c>
      <c r="E19" s="104">
        <v>5.9760999999999998E-3</v>
      </c>
      <c r="F19" s="104">
        <v>1.76796E-2</v>
      </c>
      <c r="G19" s="104">
        <v>3.8643682850467371E-3</v>
      </c>
      <c r="H19" s="118">
        <v>34.377763381356537</v>
      </c>
      <c r="I19" s="119">
        <v>0</v>
      </c>
      <c r="J19" s="120">
        <v>1</v>
      </c>
    </row>
  </sheetData>
  <mergeCells count="1">
    <mergeCell ref="N1:Q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1DAC2-FEEA-41D7-A202-3BA0AA461DC4}">
  <sheetPr codeName="Sheet33"/>
  <dimension ref="A1:Q19"/>
  <sheetViews>
    <sheetView workbookViewId="0">
      <pane ySplit="1" topLeftCell="A2" activePane="bottomLeft" state="frozen"/>
      <selection pane="bottomLeft" activeCell="J12" sqref="J12"/>
    </sheetView>
  </sheetViews>
  <sheetFormatPr defaultRowHeight="14.5"/>
  <cols>
    <col min="1" max="1" width="20.6328125" customWidth="1"/>
    <col min="2" max="2" width="35.6328125" customWidth="1"/>
    <col min="3" max="3" width="8.6328125" customWidth="1"/>
    <col min="4" max="4" width="10.6328125" customWidth="1"/>
    <col min="5" max="11" width="12.6328125" customWidth="1"/>
  </cols>
  <sheetData>
    <row r="1" spans="1:17" ht="18.5">
      <c r="A1" s="102" t="s">
        <v>264</v>
      </c>
      <c r="B1" s="102" t="s">
        <v>265</v>
      </c>
      <c r="C1" s="102" t="s">
        <v>189</v>
      </c>
      <c r="D1" s="102" t="s">
        <v>266</v>
      </c>
      <c r="E1" s="102" t="s">
        <v>267</v>
      </c>
      <c r="F1" s="102" t="s">
        <v>268</v>
      </c>
      <c r="G1" s="102" t="s">
        <v>269</v>
      </c>
      <c r="H1" s="102" t="s">
        <v>270</v>
      </c>
      <c r="I1" s="102" t="s">
        <v>271</v>
      </c>
      <c r="J1" s="102" t="s">
        <v>272</v>
      </c>
      <c r="K1" s="102" t="s">
        <v>273</v>
      </c>
      <c r="N1" s="145" t="s">
        <v>263</v>
      </c>
      <c r="O1" s="145"/>
      <c r="P1" s="145"/>
      <c r="Q1" s="145"/>
    </row>
    <row r="2" spans="1:17">
      <c r="A2" s="103" t="s">
        <v>132</v>
      </c>
      <c r="B2" s="103" t="s">
        <v>274</v>
      </c>
      <c r="C2" s="103">
        <v>0</v>
      </c>
      <c r="D2" s="103">
        <v>40</v>
      </c>
      <c r="E2" s="104">
        <v>1.1490000000000001E-4</v>
      </c>
      <c r="F2" s="104">
        <v>2.8725000000000004E-6</v>
      </c>
      <c r="G2" s="104">
        <v>1.5999999999999999E-6</v>
      </c>
      <c r="H2" s="104">
        <v>6.3999999999999997E-6</v>
      </c>
      <c r="I2" s="104">
        <v>8.5644249661024898E-7</v>
      </c>
      <c r="J2" s="105">
        <v>0</v>
      </c>
      <c r="K2" s="103"/>
    </row>
    <row r="3" spans="1:17">
      <c r="A3" s="103" t="s">
        <v>132</v>
      </c>
      <c r="B3" s="103" t="s">
        <v>275</v>
      </c>
      <c r="C3" s="103">
        <v>0</v>
      </c>
      <c r="D3" s="103">
        <v>40</v>
      </c>
      <c r="E3" s="104">
        <v>2.1860000000000003E-4</v>
      </c>
      <c r="F3" s="104">
        <v>5.465000000000001E-6</v>
      </c>
      <c r="G3" s="104">
        <v>3.1E-6</v>
      </c>
      <c r="H3" s="104">
        <v>1.0499999999999999E-5</v>
      </c>
      <c r="I3" s="104">
        <v>1.3002980427578818E-6</v>
      </c>
      <c r="J3" s="105">
        <v>5.9316358615958871E-4</v>
      </c>
      <c r="K3" s="106" t="s">
        <v>276</v>
      </c>
      <c r="N3" t="s">
        <v>289</v>
      </c>
      <c r="O3" s="26">
        <v>1</v>
      </c>
    </row>
    <row r="4" spans="1:17">
      <c r="A4" s="103" t="s">
        <v>132</v>
      </c>
      <c r="B4" s="103" t="s">
        <v>277</v>
      </c>
      <c r="C4" s="103">
        <v>0</v>
      </c>
      <c r="D4" s="103">
        <v>40</v>
      </c>
      <c r="E4" s="104">
        <v>5.1690999999999994E-3</v>
      </c>
      <c r="F4" s="104">
        <v>1.292275E-4</v>
      </c>
      <c r="G4" s="104">
        <v>8.3999999999999995E-5</v>
      </c>
      <c r="H4" s="104">
        <v>2.2279999999999999E-4</v>
      </c>
      <c r="I4" s="104">
        <v>2.5701069895045206E-5</v>
      </c>
      <c r="J4" s="105">
        <v>1.4026175174828587E-2</v>
      </c>
      <c r="K4" s="106" t="s">
        <v>276</v>
      </c>
      <c r="N4" t="s">
        <v>290</v>
      </c>
      <c r="O4" s="26">
        <v>40</v>
      </c>
    </row>
    <row r="5" spans="1:17">
      <c r="A5" s="103" t="s">
        <v>132</v>
      </c>
      <c r="B5" s="103" t="s">
        <v>278</v>
      </c>
      <c r="C5" s="103">
        <v>0</v>
      </c>
      <c r="D5" s="103">
        <v>40</v>
      </c>
      <c r="E5" s="104">
        <v>1.3214900000000002E-2</v>
      </c>
      <c r="F5" s="104">
        <v>3.3037250000000006E-4</v>
      </c>
      <c r="G5" s="104">
        <v>2.3039999999999999E-4</v>
      </c>
      <c r="H5" s="104">
        <v>4.8299999999999998E-4</v>
      </c>
      <c r="I5" s="104">
        <v>5.7137286370197716E-5</v>
      </c>
      <c r="J5" s="105">
        <v>3.5858176920129679E-2</v>
      </c>
      <c r="K5" s="106" t="s">
        <v>276</v>
      </c>
      <c r="N5" t="s">
        <v>291</v>
      </c>
      <c r="O5" s="26">
        <v>400</v>
      </c>
    </row>
    <row r="6" spans="1:17">
      <c r="A6" s="103" t="s">
        <v>132</v>
      </c>
      <c r="B6" s="103" t="s">
        <v>260</v>
      </c>
      <c r="C6" s="103">
        <v>0</v>
      </c>
      <c r="D6" s="103">
        <v>40</v>
      </c>
      <c r="E6" s="104">
        <v>1.1372700000000001E-2</v>
      </c>
      <c r="F6" s="104">
        <v>2.8431750000000003E-4</v>
      </c>
      <c r="G6" s="104">
        <v>6.2999999999999998E-6</v>
      </c>
      <c r="H6" s="104">
        <v>7.7990000000000004E-4</v>
      </c>
      <c r="I6" s="104">
        <v>2.9022316059155225E-4</v>
      </c>
      <c r="J6" s="105">
        <v>3.0859430541249563E-2</v>
      </c>
      <c r="K6" s="106" t="s">
        <v>276</v>
      </c>
      <c r="N6" t="s">
        <v>292</v>
      </c>
      <c r="O6" s="111">
        <v>0.36853240000000004</v>
      </c>
      <c r="P6" t="s">
        <v>293</v>
      </c>
    </row>
    <row r="7" spans="1:17">
      <c r="A7" s="103" t="s">
        <v>132</v>
      </c>
      <c r="B7" s="103" t="s">
        <v>279</v>
      </c>
      <c r="C7" s="103">
        <v>0</v>
      </c>
      <c r="D7" s="103">
        <v>40</v>
      </c>
      <c r="E7" s="104">
        <v>1.0327300000000001E-2</v>
      </c>
      <c r="F7" s="104">
        <v>2.5818250000000004E-4</v>
      </c>
      <c r="G7" s="104">
        <v>1.641E-4</v>
      </c>
      <c r="H7" s="104">
        <v>5.0049999999999997E-4</v>
      </c>
      <c r="I7" s="104">
        <v>7.1070003825453472E-5</v>
      </c>
      <c r="J7" s="105">
        <v>2.8022773574318025E-2</v>
      </c>
      <c r="K7" s="106" t="s">
        <v>276</v>
      </c>
      <c r="N7" t="s">
        <v>294</v>
      </c>
      <c r="O7" s="111">
        <v>9.2133100000000006E-3</v>
      </c>
      <c r="P7" t="s">
        <v>293</v>
      </c>
    </row>
    <row r="8" spans="1:17">
      <c r="A8" s="103" t="s">
        <v>132</v>
      </c>
      <c r="B8" s="103" t="s">
        <v>280</v>
      </c>
      <c r="C8" s="103">
        <v>0</v>
      </c>
      <c r="D8" s="103">
        <v>40</v>
      </c>
      <c r="E8" s="104">
        <v>9.1815000000000004E-3</v>
      </c>
      <c r="F8" s="104">
        <v>2.2953750000000002E-4</v>
      </c>
      <c r="G8" s="104">
        <v>1.7100000000000001E-4</v>
      </c>
      <c r="H8" s="104">
        <v>4.9200000000000003E-4</v>
      </c>
      <c r="I8" s="104">
        <v>5.8340507743333923E-5</v>
      </c>
      <c r="J8" s="105">
        <v>2.4913684658390958E-2</v>
      </c>
      <c r="K8" s="106" t="s">
        <v>276</v>
      </c>
      <c r="N8" t="s">
        <v>295</v>
      </c>
      <c r="O8" s="112">
        <v>1</v>
      </c>
    </row>
    <row r="9" spans="1:17">
      <c r="A9" s="103" t="s">
        <v>132</v>
      </c>
      <c r="B9" s="103" t="s">
        <v>282</v>
      </c>
      <c r="C9" s="103">
        <v>0</v>
      </c>
      <c r="D9" s="103">
        <v>40</v>
      </c>
      <c r="E9" s="104">
        <v>0.17352509999999999</v>
      </c>
      <c r="F9" s="104">
        <v>4.3381274999999995E-3</v>
      </c>
      <c r="G9" s="104">
        <v>1.8568E-3</v>
      </c>
      <c r="H9" s="104">
        <v>8.0511000000000003E-3</v>
      </c>
      <c r="I9" s="104">
        <v>1.9724485026214877E-3</v>
      </c>
      <c r="J9" s="105">
        <v>0.47085439434904497</v>
      </c>
      <c r="K9" s="108" t="s">
        <v>283</v>
      </c>
    </row>
    <row r="10" spans="1:17">
      <c r="A10" s="103" t="s">
        <v>132</v>
      </c>
      <c r="B10" s="103" t="s">
        <v>284</v>
      </c>
      <c r="C10" s="103">
        <v>0</v>
      </c>
      <c r="D10" s="103">
        <v>40</v>
      </c>
      <c r="E10" s="104">
        <v>1.5854100000000003E-2</v>
      </c>
      <c r="F10" s="104">
        <v>3.9635250000000005E-4</v>
      </c>
      <c r="G10" s="104">
        <v>5.0300000000000003E-5</v>
      </c>
      <c r="H10" s="104">
        <v>9.3030000000000001E-4</v>
      </c>
      <c r="I10" s="104">
        <v>3.4723182240939545E-4</v>
      </c>
      <c r="J10" s="105">
        <v>4.3019555404083878E-2</v>
      </c>
      <c r="K10" s="106" t="s">
        <v>276</v>
      </c>
      <c r="N10" s="26" t="s">
        <v>296</v>
      </c>
    </row>
    <row r="11" spans="1:17">
      <c r="A11" s="103" t="s">
        <v>132</v>
      </c>
      <c r="B11" s="103" t="s">
        <v>285</v>
      </c>
      <c r="C11" s="103">
        <v>0</v>
      </c>
      <c r="D11" s="103">
        <v>40</v>
      </c>
      <c r="E11" s="104">
        <v>9.1142500000000001E-2</v>
      </c>
      <c r="F11" s="104">
        <v>2.2785625000000002E-3</v>
      </c>
      <c r="G11" s="104">
        <v>1.0087E-3</v>
      </c>
      <c r="H11" s="104">
        <v>4.0350000000000004E-3</v>
      </c>
      <c r="I11" s="104">
        <v>1.1813366926256667E-3</v>
      </c>
      <c r="J11" s="105">
        <v>0.24731204094945244</v>
      </c>
      <c r="K11" s="107" t="s">
        <v>281</v>
      </c>
      <c r="N11" s="113" t="s">
        <v>264</v>
      </c>
      <c r="O11" s="113" t="s">
        <v>265</v>
      </c>
      <c r="P11" s="113" t="s">
        <v>267</v>
      </c>
      <c r="Q11" s="113" t="s">
        <v>272</v>
      </c>
    </row>
    <row r="12" spans="1:17">
      <c r="A12" s="103" t="s">
        <v>132</v>
      </c>
      <c r="B12" s="103" t="s">
        <v>286</v>
      </c>
      <c r="C12" s="103">
        <v>0</v>
      </c>
      <c r="D12" s="103">
        <v>40</v>
      </c>
      <c r="E12" s="104">
        <v>3.8526600000000001E-2</v>
      </c>
      <c r="F12" s="104">
        <v>9.6316499999999998E-4</v>
      </c>
      <c r="G12" s="104">
        <v>8.9699999999999998E-5</v>
      </c>
      <c r="H12" s="104">
        <v>2.6162999999999998E-3</v>
      </c>
      <c r="I12" s="104">
        <v>8.8359913353001896E-4</v>
      </c>
      <c r="J12" s="105">
        <v>0.10454060484234222</v>
      </c>
      <c r="K12" s="109" t="s">
        <v>287</v>
      </c>
      <c r="N12" t="s">
        <v>132</v>
      </c>
      <c r="O12" t="s">
        <v>282</v>
      </c>
      <c r="P12" s="110">
        <v>0.17352509999999999</v>
      </c>
      <c r="Q12" s="115">
        <v>0.47085439434904497</v>
      </c>
    </row>
    <row r="13" spans="1:17">
      <c r="A13" s="103" t="s">
        <v>132</v>
      </c>
      <c r="B13" s="103" t="s">
        <v>288</v>
      </c>
      <c r="C13" s="103">
        <v>0</v>
      </c>
      <c r="D13" s="103">
        <v>40</v>
      </c>
      <c r="E13" s="104">
        <v>0.36853240000000004</v>
      </c>
      <c r="F13" s="104">
        <v>9.2133100000000006E-3</v>
      </c>
      <c r="G13" s="104">
        <v>3.8290000000000004E-3</v>
      </c>
      <c r="H13" s="104">
        <v>1.6236400000000002E-2</v>
      </c>
      <c r="I13" s="104">
        <v>4.6302161540688353E-3</v>
      </c>
      <c r="J13" s="105">
        <v>0</v>
      </c>
      <c r="K13" s="103"/>
      <c r="N13" t="s">
        <v>132</v>
      </c>
      <c r="O13" t="s">
        <v>285</v>
      </c>
      <c r="P13" s="110">
        <v>9.1142500000000001E-2</v>
      </c>
      <c r="Q13" s="116">
        <v>0.24731204094945244</v>
      </c>
    </row>
    <row r="14" spans="1:17">
      <c r="N14" t="s">
        <v>132</v>
      </c>
      <c r="O14" t="s">
        <v>286</v>
      </c>
      <c r="P14" s="110">
        <v>3.8526600000000001E-2</v>
      </c>
      <c r="Q14" s="114">
        <v>0.10454060484234222</v>
      </c>
    </row>
    <row r="15" spans="1:17">
      <c r="N15" t="s">
        <v>132</v>
      </c>
      <c r="O15" t="s">
        <v>284</v>
      </c>
      <c r="P15" s="110">
        <v>1.5854100000000003E-2</v>
      </c>
      <c r="Q15" s="114">
        <v>4.3019555404083878E-2</v>
      </c>
    </row>
    <row r="16" spans="1:17" ht="16">
      <c r="A16" s="117" t="s">
        <v>297</v>
      </c>
      <c r="N16" t="s">
        <v>132</v>
      </c>
      <c r="O16" t="s">
        <v>278</v>
      </c>
      <c r="P16" s="110">
        <v>1.3214900000000002E-2</v>
      </c>
      <c r="Q16" s="114">
        <v>3.5858176920129679E-2</v>
      </c>
    </row>
    <row r="18" spans="1:10">
      <c r="A18" s="102" t="s">
        <v>264</v>
      </c>
      <c r="B18" s="102" t="s">
        <v>298</v>
      </c>
      <c r="C18" s="102" t="s">
        <v>299</v>
      </c>
      <c r="D18" s="102" t="s">
        <v>300</v>
      </c>
      <c r="E18" s="102" t="s">
        <v>301</v>
      </c>
      <c r="F18" s="102" t="s">
        <v>302</v>
      </c>
      <c r="G18" s="102" t="s">
        <v>271</v>
      </c>
      <c r="H18" s="102" t="s">
        <v>303</v>
      </c>
      <c r="I18" s="102" t="s">
        <v>272</v>
      </c>
      <c r="J18" s="102" t="s">
        <v>304</v>
      </c>
    </row>
    <row r="19" spans="1:10">
      <c r="A19" s="103" t="s">
        <v>132</v>
      </c>
      <c r="B19" s="103">
        <v>40</v>
      </c>
      <c r="C19" s="104">
        <v>0.36853240000000004</v>
      </c>
      <c r="D19" s="104">
        <v>9.2133100000000006E-3</v>
      </c>
      <c r="E19" s="104">
        <v>3.8290000000000004E-3</v>
      </c>
      <c r="F19" s="104">
        <v>1.6236400000000002E-2</v>
      </c>
      <c r="G19" s="104">
        <v>4.6302161540688353E-3</v>
      </c>
      <c r="H19" s="118">
        <v>50.255729526834926</v>
      </c>
      <c r="I19" s="119">
        <v>0</v>
      </c>
      <c r="J19" s="120">
        <v>1</v>
      </c>
    </row>
  </sheetData>
  <mergeCells count="1">
    <mergeCell ref="N1:Q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BF075-7043-4196-8589-88F244730CE7}">
  <sheetPr codeName="Sheet25">
    <tabColor theme="5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84A5E-5ED3-4252-ACF6-D73A848991C4}">
  <sheetPr codeName="wMetadata"/>
  <dimension ref="A1:DH249"/>
  <sheetViews>
    <sheetView showGridLines="0" topLeftCell="T24" workbookViewId="0">
      <selection activeCell="AU43" sqref="AU43:AX97"/>
    </sheetView>
  </sheetViews>
  <sheetFormatPr defaultRowHeight="14.5"/>
  <cols>
    <col min="1" max="1" width="1.6328125" customWidth="1"/>
    <col min="2" max="13" width="14.453125" customWidth="1"/>
    <col min="16" max="16" width="11.453125" bestFit="1" customWidth="1"/>
    <col min="47" max="47" width="6.90625" bestFit="1" customWidth="1"/>
    <col min="48" max="48" width="42.54296875" bestFit="1" customWidth="1"/>
    <col min="49" max="49" width="6" bestFit="1" customWidth="1"/>
  </cols>
  <sheetData>
    <row r="1" spans="1:45">
      <c r="A1" t="str" cm="1">
        <f t="array" aca="1" ref="A1" ca="1">CELL("filename",A1)</f>
        <v>C:\Sync\git_hub\vba_samplicity\[01_magnus_premres.xlsm]metadata</v>
      </c>
    </row>
    <row r="2" spans="1:45">
      <c r="A2" s="14" t="s">
        <v>256</v>
      </c>
    </row>
    <row r="3" spans="1:45">
      <c r="A3" s="14" t="s">
        <v>186</v>
      </c>
    </row>
    <row r="5" spans="1:45">
      <c r="A5" s="27" t="s">
        <v>141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</row>
    <row r="7" spans="1:45">
      <c r="B7" s="38" t="s">
        <v>137</v>
      </c>
    </row>
    <row r="8" spans="1:45">
      <c r="B8" s="38" t="s">
        <v>138</v>
      </c>
    </row>
    <row r="9" spans="1:45">
      <c r="B9" s="38" t="s">
        <v>140</v>
      </c>
    </row>
    <row r="10" spans="1:45">
      <c r="B10" s="38" t="s">
        <v>139</v>
      </c>
    </row>
    <row r="11" spans="1:45">
      <c r="B11" s="38" t="s">
        <v>142</v>
      </c>
    </row>
    <row r="12" spans="1:45">
      <c r="B12" s="38" t="s">
        <v>175</v>
      </c>
    </row>
    <row r="13" spans="1:45">
      <c r="B13" s="38" t="s">
        <v>177</v>
      </c>
    </row>
    <row r="16" spans="1:45">
      <c r="A16" s="27" t="s">
        <v>137</v>
      </c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9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</row>
    <row r="19" spans="2:14">
      <c r="B19" s="1" t="s">
        <v>95</v>
      </c>
      <c r="C19" s="1" t="s">
        <v>82</v>
      </c>
      <c r="D19" s="1" t="s">
        <v>2</v>
      </c>
      <c r="E19" s="1" t="s">
        <v>1</v>
      </c>
      <c r="H19" s="1" t="s">
        <v>95</v>
      </c>
      <c r="I19" s="1" t="s">
        <v>82</v>
      </c>
      <c r="J19" s="1" t="s">
        <v>2</v>
      </c>
      <c r="K19" s="1" t="s">
        <v>1</v>
      </c>
    </row>
    <row r="20" spans="2:14">
      <c r="B20" s="3" t="s">
        <v>105</v>
      </c>
      <c r="C20" s="5">
        <v>1.75</v>
      </c>
      <c r="D20" s="3" t="s">
        <v>83</v>
      </c>
      <c r="E20" s="3" t="s">
        <v>84</v>
      </c>
      <c r="H20" s="3" t="s">
        <v>102</v>
      </c>
      <c r="I20" s="5">
        <v>1.75</v>
      </c>
      <c r="J20" s="3" t="s">
        <v>88</v>
      </c>
      <c r="K20" s="3" t="s">
        <v>79</v>
      </c>
    </row>
    <row r="21" spans="2:14">
      <c r="B21" s="4" t="s">
        <v>106</v>
      </c>
      <c r="C21" s="6">
        <v>1.1299999999999999</v>
      </c>
      <c r="D21" s="4" t="s">
        <v>83</v>
      </c>
      <c r="E21" s="4" t="s">
        <v>84</v>
      </c>
      <c r="H21" s="7" t="s">
        <v>103</v>
      </c>
      <c r="I21" s="8">
        <v>1.1299999999999999</v>
      </c>
      <c r="J21" s="24" t="s">
        <v>101</v>
      </c>
      <c r="K21" s="7" t="s">
        <v>79</v>
      </c>
    </row>
    <row r="22" spans="2:14">
      <c r="B22" s="4" t="s">
        <v>107</v>
      </c>
      <c r="C22" s="6">
        <v>1.2</v>
      </c>
      <c r="D22" s="4" t="s">
        <v>83</v>
      </c>
      <c r="E22" s="4" t="s">
        <v>84</v>
      </c>
    </row>
    <row r="23" spans="2:14">
      <c r="B23" s="4" t="s">
        <v>108</v>
      </c>
      <c r="C23" s="6">
        <v>0.3</v>
      </c>
      <c r="D23" s="4" t="s">
        <v>85</v>
      </c>
      <c r="E23" s="4" t="s">
        <v>84</v>
      </c>
      <c r="N23" s="9"/>
    </row>
    <row r="24" spans="2:14">
      <c r="B24" s="4" t="s">
        <v>109</v>
      </c>
      <c r="C24" s="6">
        <v>1.75</v>
      </c>
      <c r="D24" s="4" t="s">
        <v>83</v>
      </c>
      <c r="E24" s="4" t="s">
        <v>84</v>
      </c>
      <c r="N24" s="9"/>
    </row>
    <row r="25" spans="2:14">
      <c r="B25" s="4" t="s">
        <v>110</v>
      </c>
      <c r="C25" s="6">
        <v>1</v>
      </c>
      <c r="D25" s="4" t="s">
        <v>86</v>
      </c>
      <c r="E25" s="4" t="s">
        <v>20</v>
      </c>
      <c r="N25" s="9"/>
    </row>
    <row r="26" spans="2:14">
      <c r="B26" s="4" t="s">
        <v>111</v>
      </c>
      <c r="C26" s="6">
        <v>1.5</v>
      </c>
      <c r="D26" s="4" t="s">
        <v>58</v>
      </c>
      <c r="E26" s="4" t="s">
        <v>84</v>
      </c>
      <c r="H26" s="10"/>
      <c r="I26" s="11"/>
      <c r="N26" s="9"/>
    </row>
    <row r="27" spans="2:14">
      <c r="B27" s="4" t="s">
        <v>112</v>
      </c>
      <c r="C27" s="6">
        <v>0.8</v>
      </c>
      <c r="D27" s="4" t="s">
        <v>59</v>
      </c>
      <c r="E27" s="4" t="s">
        <v>84</v>
      </c>
      <c r="N27" s="9"/>
    </row>
    <row r="28" spans="2:14">
      <c r="B28" s="4" t="s">
        <v>113</v>
      </c>
      <c r="C28" s="6">
        <v>2</v>
      </c>
      <c r="D28" s="4" t="s">
        <v>55</v>
      </c>
      <c r="E28" s="4" t="s">
        <v>84</v>
      </c>
      <c r="H28" s="11"/>
      <c r="I28" s="11"/>
      <c r="N28" s="9"/>
    </row>
    <row r="29" spans="2:14">
      <c r="B29" s="4" t="s">
        <v>114</v>
      </c>
      <c r="C29" s="6">
        <v>3</v>
      </c>
      <c r="D29" s="4" t="s">
        <v>55</v>
      </c>
      <c r="E29" s="4" t="s">
        <v>84</v>
      </c>
      <c r="N29" s="9"/>
    </row>
    <row r="30" spans="2:14">
      <c r="B30" s="4" t="s">
        <v>115</v>
      </c>
      <c r="C30" s="6">
        <v>0.6</v>
      </c>
      <c r="D30" s="4" t="s">
        <v>57</v>
      </c>
      <c r="E30" s="4" t="s">
        <v>84</v>
      </c>
      <c r="H30" s="25"/>
      <c r="N30" s="9"/>
    </row>
    <row r="31" spans="2:14">
      <c r="B31" s="4" t="s">
        <v>116</v>
      </c>
      <c r="C31" s="6">
        <v>0.85</v>
      </c>
      <c r="D31" s="4" t="s">
        <v>87</v>
      </c>
      <c r="E31" s="4" t="s">
        <v>84</v>
      </c>
      <c r="I31" s="11"/>
      <c r="N31" s="9"/>
    </row>
    <row r="32" spans="2:14">
      <c r="B32" s="4" t="s">
        <v>117</v>
      </c>
      <c r="C32" s="6">
        <v>1.39</v>
      </c>
      <c r="D32" s="4" t="s">
        <v>88</v>
      </c>
      <c r="E32" s="4" t="s">
        <v>84</v>
      </c>
      <c r="N32" s="9"/>
    </row>
    <row r="33" spans="1:45">
      <c r="B33" s="4" t="s">
        <v>118</v>
      </c>
      <c r="C33" s="6">
        <v>0.4</v>
      </c>
      <c r="D33" s="16">
        <v>16</v>
      </c>
      <c r="E33" s="4" t="s">
        <v>84</v>
      </c>
      <c r="N33" s="9"/>
    </row>
    <row r="34" spans="1:45">
      <c r="B34" s="4" t="s">
        <v>119</v>
      </c>
      <c r="C34" s="6">
        <v>2.5</v>
      </c>
      <c r="D34" s="4" t="s">
        <v>89</v>
      </c>
      <c r="E34" s="4" t="s">
        <v>90</v>
      </c>
      <c r="N34" s="9"/>
    </row>
    <row r="35" spans="1:45">
      <c r="B35" s="4" t="s">
        <v>120</v>
      </c>
      <c r="C35" s="6">
        <v>2.5</v>
      </c>
      <c r="D35" s="4" t="s">
        <v>91</v>
      </c>
      <c r="E35" s="4" t="s">
        <v>92</v>
      </c>
      <c r="N35" s="9"/>
    </row>
    <row r="36" spans="1:45">
      <c r="B36" s="4" t="s">
        <v>121</v>
      </c>
      <c r="C36" s="6">
        <v>0.85</v>
      </c>
      <c r="D36" s="4">
        <v>14</v>
      </c>
      <c r="E36" s="4" t="s">
        <v>93</v>
      </c>
      <c r="N36" s="9"/>
    </row>
    <row r="37" spans="1:45">
      <c r="B37" s="7" t="s">
        <v>104</v>
      </c>
      <c r="C37" s="8">
        <v>2.5</v>
      </c>
      <c r="D37" s="7">
        <v>14</v>
      </c>
      <c r="E37" s="7" t="s">
        <v>94</v>
      </c>
      <c r="N37" s="9"/>
    </row>
    <row r="38" spans="1:45">
      <c r="N38" s="9"/>
    </row>
    <row r="40" spans="1:45">
      <c r="A40" s="27" t="s">
        <v>138</v>
      </c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</row>
    <row r="43" spans="1:45">
      <c r="C43" s="36" t="s">
        <v>21</v>
      </c>
      <c r="D43" s="36" t="s">
        <v>38</v>
      </c>
      <c r="E43" s="36" t="s">
        <v>39</v>
      </c>
      <c r="F43" s="36" t="s">
        <v>40</v>
      </c>
      <c r="G43" s="36" t="s">
        <v>41</v>
      </c>
      <c r="H43" s="36" t="s">
        <v>42</v>
      </c>
      <c r="I43" s="36" t="s">
        <v>43</v>
      </c>
      <c r="J43" s="36" t="s">
        <v>44</v>
      </c>
      <c r="K43" s="36" t="s">
        <v>45</v>
      </c>
      <c r="L43" s="36" t="s">
        <v>46</v>
      </c>
      <c r="M43" s="36" t="s">
        <v>47</v>
      </c>
      <c r="N43" s="36" t="s">
        <v>48</v>
      </c>
      <c r="O43" s="36" t="s">
        <v>49</v>
      </c>
      <c r="P43" s="36" t="s">
        <v>50</v>
      </c>
      <c r="Q43" s="36" t="s">
        <v>51</v>
      </c>
      <c r="R43" s="36" t="s">
        <v>52</v>
      </c>
      <c r="S43" s="36" t="s">
        <v>53</v>
      </c>
      <c r="T43" s="36">
        <v>9</v>
      </c>
      <c r="U43" s="36" t="s">
        <v>54</v>
      </c>
      <c r="V43" s="36" t="s">
        <v>55</v>
      </c>
      <c r="W43" s="36" t="s">
        <v>56</v>
      </c>
      <c r="X43" s="36" t="s">
        <v>57</v>
      </c>
      <c r="Y43" s="36" t="s">
        <v>58</v>
      </c>
      <c r="Z43" s="36" t="s">
        <v>59</v>
      </c>
      <c r="AA43" s="36" t="s">
        <v>60</v>
      </c>
      <c r="AB43" s="36">
        <v>11</v>
      </c>
      <c r="AC43" s="36">
        <v>12</v>
      </c>
      <c r="AD43" s="36">
        <v>13</v>
      </c>
      <c r="AE43" s="36">
        <v>14</v>
      </c>
      <c r="AF43" s="36">
        <v>15</v>
      </c>
      <c r="AG43" s="36" t="s">
        <v>61</v>
      </c>
      <c r="AH43" s="36" t="s">
        <v>62</v>
      </c>
      <c r="AI43" s="36" t="s">
        <v>63</v>
      </c>
      <c r="AJ43" s="36" t="s">
        <v>64</v>
      </c>
      <c r="AK43" s="36" t="s">
        <v>65</v>
      </c>
      <c r="AL43" s="36" t="s">
        <v>66</v>
      </c>
      <c r="AM43" s="36" t="s">
        <v>67</v>
      </c>
      <c r="AN43" s="36" t="s">
        <v>68</v>
      </c>
      <c r="AO43" s="36" t="s">
        <v>69</v>
      </c>
      <c r="AQ43" s="15" t="s">
        <v>2</v>
      </c>
      <c r="AR43" s="15" t="s">
        <v>70</v>
      </c>
      <c r="AS43" s="15" t="s">
        <v>71</v>
      </c>
    </row>
    <row r="44" spans="1:45">
      <c r="B44" s="2" t="s">
        <v>21</v>
      </c>
      <c r="C44" s="3">
        <v>1</v>
      </c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Q44" s="3" t="s">
        <v>21</v>
      </c>
      <c r="AR44" s="30">
        <v>6.3E-2</v>
      </c>
      <c r="AS44" s="30">
        <v>0.06</v>
      </c>
    </row>
    <row r="45" spans="1:45">
      <c r="B45" s="2" t="s">
        <v>38</v>
      </c>
      <c r="C45" s="4">
        <v>0.75</v>
      </c>
      <c r="D45" s="4">
        <v>1</v>
      </c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Q45" s="4" t="s">
        <v>38</v>
      </c>
      <c r="AR45" s="31">
        <v>7.0000000000000007E-2</v>
      </c>
      <c r="AS45" s="31">
        <v>6.5000000000000002E-2</v>
      </c>
    </row>
    <row r="46" spans="1:45">
      <c r="B46" s="2" t="s">
        <v>39</v>
      </c>
      <c r="C46" s="4">
        <v>0.25</v>
      </c>
      <c r="D46" s="4">
        <v>0.25</v>
      </c>
      <c r="E46" s="4">
        <v>1</v>
      </c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Q46" s="4" t="s">
        <v>39</v>
      </c>
      <c r="AR46" s="31">
        <v>5.8999999999999997E-2</v>
      </c>
      <c r="AS46" s="31">
        <v>0.11700000000000001</v>
      </c>
    </row>
    <row r="47" spans="1:45">
      <c r="B47" s="2" t="s">
        <v>40</v>
      </c>
      <c r="C47" s="4">
        <v>0.25</v>
      </c>
      <c r="D47" s="4">
        <v>0.25</v>
      </c>
      <c r="E47" s="4">
        <v>0.75</v>
      </c>
      <c r="F47" s="4">
        <v>1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Q47" s="4" t="s">
        <v>40</v>
      </c>
      <c r="AR47" s="31">
        <v>0.13800000000000001</v>
      </c>
      <c r="AS47" s="31">
        <v>0.14499999999999999</v>
      </c>
    </row>
    <row r="48" spans="1:45">
      <c r="B48" s="2" t="s">
        <v>41</v>
      </c>
      <c r="C48" s="4">
        <v>0.25</v>
      </c>
      <c r="D48" s="4">
        <v>0.25</v>
      </c>
      <c r="E48" s="4">
        <v>0.25</v>
      </c>
      <c r="F48" s="4">
        <v>0.25</v>
      </c>
      <c r="G48" s="4">
        <v>1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Q48" s="4" t="s">
        <v>41</v>
      </c>
      <c r="AR48" s="31">
        <v>0.4</v>
      </c>
      <c r="AS48" s="31">
        <v>0.2</v>
      </c>
    </row>
    <row r="49" spans="2:45">
      <c r="B49" s="2" t="s">
        <v>42</v>
      </c>
      <c r="C49" s="4">
        <v>0.25</v>
      </c>
      <c r="D49" s="4">
        <v>0.25</v>
      </c>
      <c r="E49" s="4">
        <v>0.25</v>
      </c>
      <c r="F49" s="4">
        <v>0.25</v>
      </c>
      <c r="G49" s="4">
        <v>0.75</v>
      </c>
      <c r="H49" s="4">
        <v>1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Q49" s="4" t="s">
        <v>42</v>
      </c>
      <c r="AR49" s="31">
        <v>0.1</v>
      </c>
      <c r="AS49" s="31">
        <v>0.09</v>
      </c>
    </row>
    <row r="50" spans="2:45">
      <c r="B50" s="2" t="s">
        <v>43</v>
      </c>
      <c r="C50" s="4">
        <v>0.25</v>
      </c>
      <c r="D50" s="4">
        <v>0.25</v>
      </c>
      <c r="E50" s="4">
        <v>0.25</v>
      </c>
      <c r="F50" s="4">
        <v>0.25</v>
      </c>
      <c r="G50" s="4">
        <v>0.75</v>
      </c>
      <c r="H50" s="4">
        <v>0.75</v>
      </c>
      <c r="I50" s="4">
        <v>1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Q50" s="4" t="s">
        <v>43</v>
      </c>
      <c r="AR50" s="31">
        <v>9.0999999999999998E-2</v>
      </c>
      <c r="AS50" s="31">
        <v>0.23200000000000001</v>
      </c>
    </row>
    <row r="51" spans="2:45">
      <c r="B51" s="2" t="s">
        <v>44</v>
      </c>
      <c r="C51" s="4">
        <v>0.25</v>
      </c>
      <c r="D51" s="4">
        <v>0.25</v>
      </c>
      <c r="E51" s="4">
        <v>0.5</v>
      </c>
      <c r="F51" s="4">
        <v>0.5</v>
      </c>
      <c r="G51" s="4">
        <v>0.25</v>
      </c>
      <c r="H51" s="4">
        <v>0.25</v>
      </c>
      <c r="I51" s="4">
        <v>0.25</v>
      </c>
      <c r="J51" s="4">
        <v>1</v>
      </c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Q51" s="4" t="s">
        <v>44</v>
      </c>
      <c r="AR51" s="31">
        <v>0.109</v>
      </c>
      <c r="AS51" s="31">
        <v>0.13500000000000001</v>
      </c>
    </row>
    <row r="52" spans="2:45">
      <c r="B52" s="2" t="s">
        <v>45</v>
      </c>
      <c r="C52" s="4">
        <v>0.25</v>
      </c>
      <c r="D52" s="4">
        <v>0.25</v>
      </c>
      <c r="E52" s="4">
        <v>0.5</v>
      </c>
      <c r="F52" s="4">
        <v>0.5</v>
      </c>
      <c r="G52" s="4">
        <v>0.25</v>
      </c>
      <c r="H52" s="4">
        <v>0.25</v>
      </c>
      <c r="I52" s="4">
        <v>0.25</v>
      </c>
      <c r="J52" s="4">
        <v>0.75</v>
      </c>
      <c r="K52" s="4">
        <v>1</v>
      </c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Q52" s="4" t="s">
        <v>45</v>
      </c>
      <c r="AR52" s="31">
        <v>0.109</v>
      </c>
      <c r="AS52" s="31">
        <v>0.13500000000000001</v>
      </c>
    </row>
    <row r="53" spans="2:45">
      <c r="B53" s="2" t="s">
        <v>46</v>
      </c>
      <c r="C53" s="4">
        <v>0.25</v>
      </c>
      <c r="D53" s="4">
        <v>0.25</v>
      </c>
      <c r="E53" s="4">
        <v>0.25</v>
      </c>
      <c r="F53" s="4">
        <v>0.25</v>
      </c>
      <c r="G53" s="4">
        <v>0.25</v>
      </c>
      <c r="H53" s="4">
        <v>0.25</v>
      </c>
      <c r="I53" s="4">
        <v>0.25</v>
      </c>
      <c r="J53" s="4">
        <v>0.25</v>
      </c>
      <c r="K53" s="4">
        <v>0.25</v>
      </c>
      <c r="L53" s="4">
        <v>1</v>
      </c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Q53" s="4" t="s">
        <v>46</v>
      </c>
      <c r="AR53" s="31">
        <v>0.14599999999999999</v>
      </c>
      <c r="AS53" s="31">
        <v>0.107</v>
      </c>
    </row>
    <row r="54" spans="2:45">
      <c r="B54" s="2" t="s">
        <v>47</v>
      </c>
      <c r="C54" s="4">
        <v>0.25</v>
      </c>
      <c r="D54" s="4">
        <v>0.25</v>
      </c>
      <c r="E54" s="4">
        <v>0.25</v>
      </c>
      <c r="F54" s="4">
        <v>0.25</v>
      </c>
      <c r="G54" s="4">
        <v>0.25</v>
      </c>
      <c r="H54" s="4">
        <v>0.25</v>
      </c>
      <c r="I54" s="4">
        <v>0.25</v>
      </c>
      <c r="J54" s="4">
        <v>0.25</v>
      </c>
      <c r="K54" s="4">
        <v>0.25</v>
      </c>
      <c r="L54" s="4">
        <v>0.75</v>
      </c>
      <c r="M54" s="4">
        <v>1</v>
      </c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Q54" s="4" t="s">
        <v>47</v>
      </c>
      <c r="AR54" s="31">
        <v>0.14599999999999999</v>
      </c>
      <c r="AS54" s="31">
        <v>0.107</v>
      </c>
    </row>
    <row r="55" spans="2:45">
      <c r="B55" s="2" t="s">
        <v>48</v>
      </c>
      <c r="C55" s="4">
        <v>0.25</v>
      </c>
      <c r="D55" s="4">
        <v>0.25</v>
      </c>
      <c r="E55" s="4">
        <v>0.25</v>
      </c>
      <c r="F55" s="4">
        <v>0.25</v>
      </c>
      <c r="G55" s="4">
        <v>0.25</v>
      </c>
      <c r="H55" s="4">
        <v>0.25</v>
      </c>
      <c r="I55" s="4">
        <v>0.25</v>
      </c>
      <c r="J55" s="4">
        <v>0.25</v>
      </c>
      <c r="K55" s="4">
        <v>0.25</v>
      </c>
      <c r="L55" s="4">
        <v>0.25</v>
      </c>
      <c r="M55" s="4">
        <v>0.25</v>
      </c>
      <c r="N55" s="4">
        <v>1</v>
      </c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Q55" s="4" t="s">
        <v>48</v>
      </c>
      <c r="AR55" s="31">
        <v>0.14499999999999999</v>
      </c>
      <c r="AS55" s="31">
        <v>0.126</v>
      </c>
    </row>
    <row r="56" spans="2:45">
      <c r="B56" s="2" t="s">
        <v>49</v>
      </c>
      <c r="C56" s="4">
        <v>0.25</v>
      </c>
      <c r="D56" s="4">
        <v>0.25</v>
      </c>
      <c r="E56" s="4">
        <v>0.25</v>
      </c>
      <c r="F56" s="4">
        <v>0.25</v>
      </c>
      <c r="G56" s="4">
        <v>0.25</v>
      </c>
      <c r="H56" s="4">
        <v>0.25</v>
      </c>
      <c r="I56" s="4">
        <v>0.25</v>
      </c>
      <c r="J56" s="4">
        <v>0.25</v>
      </c>
      <c r="K56" s="4">
        <v>0.25</v>
      </c>
      <c r="L56" s="4">
        <v>0.25</v>
      </c>
      <c r="M56" s="4">
        <v>0.25</v>
      </c>
      <c r="N56" s="4">
        <v>0.75</v>
      </c>
      <c r="O56" s="4">
        <v>1</v>
      </c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Q56" s="4" t="s">
        <v>49</v>
      </c>
      <c r="AR56" s="31">
        <v>0.14499999999999999</v>
      </c>
      <c r="AS56" s="31">
        <v>0.126</v>
      </c>
    </row>
    <row r="57" spans="2:45">
      <c r="B57" s="2" t="s">
        <v>50</v>
      </c>
      <c r="C57" s="4">
        <v>0.25</v>
      </c>
      <c r="D57" s="4">
        <v>0.25</v>
      </c>
      <c r="E57" s="4">
        <v>0.25</v>
      </c>
      <c r="F57" s="4">
        <v>0.25</v>
      </c>
      <c r="G57" s="4">
        <v>0.25</v>
      </c>
      <c r="H57" s="4">
        <v>0.25</v>
      </c>
      <c r="I57" s="4">
        <v>0.25</v>
      </c>
      <c r="J57" s="4">
        <v>0.25</v>
      </c>
      <c r="K57" s="4">
        <v>0.25</v>
      </c>
      <c r="L57" s="4">
        <v>0.5</v>
      </c>
      <c r="M57" s="4">
        <v>0.5</v>
      </c>
      <c r="N57" s="4">
        <v>0.5</v>
      </c>
      <c r="O57" s="4">
        <v>0.5</v>
      </c>
      <c r="P57" s="4">
        <v>1</v>
      </c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Q57" s="4" t="s">
        <v>50</v>
      </c>
      <c r="AR57" s="31">
        <v>0.14599999999999999</v>
      </c>
      <c r="AS57" s="31">
        <v>0.107</v>
      </c>
    </row>
    <row r="58" spans="2:45">
      <c r="B58" s="2" t="s">
        <v>51</v>
      </c>
      <c r="C58" s="4">
        <v>0.25</v>
      </c>
      <c r="D58" s="4">
        <v>0.25</v>
      </c>
      <c r="E58" s="4">
        <v>0.25</v>
      </c>
      <c r="F58" s="4">
        <v>0.25</v>
      </c>
      <c r="G58" s="4">
        <v>0.25</v>
      </c>
      <c r="H58" s="4">
        <v>0.25</v>
      </c>
      <c r="I58" s="4">
        <v>0.25</v>
      </c>
      <c r="J58" s="4">
        <v>0.25</v>
      </c>
      <c r="K58" s="4">
        <v>0.25</v>
      </c>
      <c r="L58" s="4">
        <v>0.5</v>
      </c>
      <c r="M58" s="4">
        <v>0.5</v>
      </c>
      <c r="N58" s="4">
        <v>0.5</v>
      </c>
      <c r="O58" s="4">
        <v>0.5</v>
      </c>
      <c r="P58" s="4">
        <v>0.75</v>
      </c>
      <c r="Q58" s="4">
        <v>1</v>
      </c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Q58" s="4" t="s">
        <v>51</v>
      </c>
      <c r="AR58" s="31">
        <v>0.14599999999999999</v>
      </c>
      <c r="AS58" s="31">
        <v>0.107</v>
      </c>
    </row>
    <row r="59" spans="2:45">
      <c r="B59" s="2" t="s">
        <v>52</v>
      </c>
      <c r="C59" s="4">
        <v>0.25</v>
      </c>
      <c r="D59" s="4">
        <v>0.25</v>
      </c>
      <c r="E59" s="4">
        <v>0.25</v>
      </c>
      <c r="F59" s="4">
        <v>0.25</v>
      </c>
      <c r="G59" s="4">
        <v>0.25</v>
      </c>
      <c r="H59" s="4">
        <v>0.25</v>
      </c>
      <c r="I59" s="4">
        <v>0.25</v>
      </c>
      <c r="J59" s="4">
        <v>0.25</v>
      </c>
      <c r="K59" s="4">
        <v>0.25</v>
      </c>
      <c r="L59" s="4">
        <v>0.25</v>
      </c>
      <c r="M59" s="4">
        <v>0.25</v>
      </c>
      <c r="N59" s="4">
        <v>0.25</v>
      </c>
      <c r="O59" s="4">
        <v>0.25</v>
      </c>
      <c r="P59" s="4">
        <v>0.5</v>
      </c>
      <c r="Q59" s="4">
        <v>0.5</v>
      </c>
      <c r="R59" s="4">
        <v>1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Q59" s="4" t="s">
        <v>52</v>
      </c>
      <c r="AR59" s="31">
        <v>0.14599999999999999</v>
      </c>
      <c r="AS59" s="31">
        <v>0.107</v>
      </c>
    </row>
    <row r="60" spans="2:45">
      <c r="B60" s="2" t="s">
        <v>53</v>
      </c>
      <c r="C60" s="4">
        <v>0.25</v>
      </c>
      <c r="D60" s="4">
        <v>0.25</v>
      </c>
      <c r="E60" s="4">
        <v>0.25</v>
      </c>
      <c r="F60" s="4">
        <v>0.25</v>
      </c>
      <c r="G60" s="4">
        <v>0.25</v>
      </c>
      <c r="H60" s="4">
        <v>0.25</v>
      </c>
      <c r="I60" s="4">
        <v>0.25</v>
      </c>
      <c r="J60" s="4">
        <v>0.25</v>
      </c>
      <c r="K60" s="4">
        <v>0.25</v>
      </c>
      <c r="L60" s="4">
        <v>0.25</v>
      </c>
      <c r="M60" s="4">
        <v>0.25</v>
      </c>
      <c r="N60" s="4">
        <v>0.25</v>
      </c>
      <c r="O60" s="4">
        <v>0.25</v>
      </c>
      <c r="P60" s="4">
        <v>0.5</v>
      </c>
      <c r="Q60" s="4">
        <v>0.5</v>
      </c>
      <c r="R60" s="4">
        <v>0.75</v>
      </c>
      <c r="S60" s="4">
        <v>1</v>
      </c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Q60" s="4" t="s">
        <v>53</v>
      </c>
      <c r="AR60" s="31">
        <v>0.14599999999999999</v>
      </c>
      <c r="AS60" s="31">
        <v>0.107</v>
      </c>
    </row>
    <row r="61" spans="2:45">
      <c r="B61" s="37" t="s">
        <v>73</v>
      </c>
      <c r="C61" s="4">
        <v>0.5</v>
      </c>
      <c r="D61" s="4">
        <v>0.5</v>
      </c>
      <c r="E61" s="4">
        <v>0.25</v>
      </c>
      <c r="F61" s="4">
        <v>0.25</v>
      </c>
      <c r="G61" s="4">
        <v>0.25</v>
      </c>
      <c r="H61" s="4">
        <v>0.25</v>
      </c>
      <c r="I61" s="4">
        <v>0.25</v>
      </c>
      <c r="J61" s="4">
        <v>0.25</v>
      </c>
      <c r="K61" s="4">
        <v>0.25</v>
      </c>
      <c r="L61" s="4">
        <v>0.25</v>
      </c>
      <c r="M61" s="4">
        <v>0.25</v>
      </c>
      <c r="N61" s="4">
        <v>0.25</v>
      </c>
      <c r="O61" s="4">
        <v>0.25</v>
      </c>
      <c r="P61" s="4">
        <v>0.25</v>
      </c>
      <c r="Q61" s="4">
        <v>0.25</v>
      </c>
      <c r="R61" s="4">
        <v>0.25</v>
      </c>
      <c r="S61" s="4">
        <v>0.25</v>
      </c>
      <c r="T61" s="4">
        <v>1</v>
      </c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Q61" s="16" t="s">
        <v>73</v>
      </c>
      <c r="AR61" s="31">
        <v>6.9000000000000006E-2</v>
      </c>
      <c r="AS61" s="31">
        <v>0.13</v>
      </c>
    </row>
    <row r="62" spans="2:45">
      <c r="B62" s="2" t="s">
        <v>54</v>
      </c>
      <c r="C62" s="4">
        <v>0.25</v>
      </c>
      <c r="D62" s="4">
        <v>0.25</v>
      </c>
      <c r="E62" s="4">
        <v>0.25</v>
      </c>
      <c r="F62" s="4">
        <v>0.25</v>
      </c>
      <c r="G62" s="4">
        <v>0.25</v>
      </c>
      <c r="H62" s="4">
        <v>0.25</v>
      </c>
      <c r="I62" s="4">
        <v>0.25</v>
      </c>
      <c r="J62" s="4">
        <v>0.25</v>
      </c>
      <c r="K62" s="4">
        <v>0.25</v>
      </c>
      <c r="L62" s="4">
        <v>0.25</v>
      </c>
      <c r="M62" s="4">
        <v>0.25</v>
      </c>
      <c r="N62" s="4">
        <v>0.25</v>
      </c>
      <c r="O62" s="4">
        <v>0.25</v>
      </c>
      <c r="P62" s="4">
        <v>0.25</v>
      </c>
      <c r="Q62" s="4">
        <v>0.25</v>
      </c>
      <c r="R62" s="4">
        <v>0.25</v>
      </c>
      <c r="S62" s="4">
        <v>0.25</v>
      </c>
      <c r="T62" s="4">
        <v>0.25</v>
      </c>
      <c r="U62" s="4">
        <v>1</v>
      </c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Q62" s="4" t="s">
        <v>54</v>
      </c>
      <c r="AR62" s="31">
        <v>0.128</v>
      </c>
      <c r="AS62" s="31">
        <v>0.10100000000000001</v>
      </c>
    </row>
    <row r="63" spans="2:45">
      <c r="B63" s="2" t="s">
        <v>55</v>
      </c>
      <c r="C63" s="4">
        <v>0.25</v>
      </c>
      <c r="D63" s="4">
        <v>0.25</v>
      </c>
      <c r="E63" s="4">
        <v>0.25</v>
      </c>
      <c r="F63" s="4">
        <v>0.25</v>
      </c>
      <c r="G63" s="4">
        <v>0.25</v>
      </c>
      <c r="H63" s="4">
        <v>0.25</v>
      </c>
      <c r="I63" s="4">
        <v>0.25</v>
      </c>
      <c r="J63" s="4">
        <v>0.25</v>
      </c>
      <c r="K63" s="4">
        <v>0.25</v>
      </c>
      <c r="L63" s="4">
        <v>0.25</v>
      </c>
      <c r="M63" s="4">
        <v>0.25</v>
      </c>
      <c r="N63" s="4">
        <v>0.25</v>
      </c>
      <c r="O63" s="4">
        <v>0.25</v>
      </c>
      <c r="P63" s="4">
        <v>0.25</v>
      </c>
      <c r="Q63" s="4">
        <v>0.25</v>
      </c>
      <c r="R63" s="4">
        <v>0.25</v>
      </c>
      <c r="S63" s="4">
        <v>0.25</v>
      </c>
      <c r="T63" s="4">
        <v>0.25</v>
      </c>
      <c r="U63" s="4">
        <v>0.25</v>
      </c>
      <c r="V63" s="4">
        <v>1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Q63" s="4" t="s">
        <v>55</v>
      </c>
      <c r="AR63" s="31">
        <v>0.128</v>
      </c>
      <c r="AS63" s="31">
        <v>0.10100000000000001</v>
      </c>
    </row>
    <row r="64" spans="2:45">
      <c r="B64" s="2" t="s">
        <v>56</v>
      </c>
      <c r="C64" s="4">
        <v>0.25</v>
      </c>
      <c r="D64" s="4">
        <v>0.25</v>
      </c>
      <c r="E64" s="4">
        <v>0.25</v>
      </c>
      <c r="F64" s="4">
        <v>0.25</v>
      </c>
      <c r="G64" s="4">
        <v>0.25</v>
      </c>
      <c r="H64" s="4">
        <v>0.25</v>
      </c>
      <c r="I64" s="4">
        <v>0.25</v>
      </c>
      <c r="J64" s="4">
        <v>0.25</v>
      </c>
      <c r="K64" s="4">
        <v>0.25</v>
      </c>
      <c r="L64" s="4">
        <v>0.25</v>
      </c>
      <c r="M64" s="4">
        <v>0.25</v>
      </c>
      <c r="N64" s="4">
        <v>0.25</v>
      </c>
      <c r="O64" s="4">
        <v>0.25</v>
      </c>
      <c r="P64" s="4">
        <v>0.25</v>
      </c>
      <c r="Q64" s="4">
        <v>0.25</v>
      </c>
      <c r="R64" s="4">
        <v>0.25</v>
      </c>
      <c r="S64" s="4">
        <v>0.25</v>
      </c>
      <c r="T64" s="4">
        <v>0.25</v>
      </c>
      <c r="U64" s="4">
        <v>0.5</v>
      </c>
      <c r="V64" s="4">
        <v>0.25</v>
      </c>
      <c r="W64" s="4">
        <v>1</v>
      </c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Q64" s="4" t="s">
        <v>56</v>
      </c>
      <c r="AR64" s="31">
        <v>0.128</v>
      </c>
      <c r="AS64" s="31">
        <v>0.10100000000000001</v>
      </c>
    </row>
    <row r="65" spans="2:45">
      <c r="B65" s="2" t="s">
        <v>57</v>
      </c>
      <c r="C65" s="4">
        <v>0.25</v>
      </c>
      <c r="D65" s="4">
        <v>0.25</v>
      </c>
      <c r="E65" s="4">
        <v>0.25</v>
      </c>
      <c r="F65" s="4">
        <v>0.25</v>
      </c>
      <c r="G65" s="4">
        <v>0.25</v>
      </c>
      <c r="H65" s="4">
        <v>0.25</v>
      </c>
      <c r="I65" s="4">
        <v>0.25</v>
      </c>
      <c r="J65" s="4">
        <v>0.25</v>
      </c>
      <c r="K65" s="4">
        <v>0.25</v>
      </c>
      <c r="L65" s="4">
        <v>0.25</v>
      </c>
      <c r="M65" s="4">
        <v>0.25</v>
      </c>
      <c r="N65" s="4">
        <v>0.25</v>
      </c>
      <c r="O65" s="4">
        <v>0.25</v>
      </c>
      <c r="P65" s="4">
        <v>0.25</v>
      </c>
      <c r="Q65" s="4">
        <v>0.25</v>
      </c>
      <c r="R65" s="4">
        <v>0.25</v>
      </c>
      <c r="S65" s="4">
        <v>0.25</v>
      </c>
      <c r="T65" s="4">
        <v>0.25</v>
      </c>
      <c r="U65" s="4">
        <v>0.5</v>
      </c>
      <c r="V65" s="4">
        <v>0.25</v>
      </c>
      <c r="W65" s="4">
        <v>0.25</v>
      </c>
      <c r="X65" s="4">
        <v>1</v>
      </c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Q65" s="4" t="s">
        <v>57</v>
      </c>
      <c r="AR65" s="31">
        <v>0.128</v>
      </c>
      <c r="AS65" s="31">
        <v>0.10100000000000001</v>
      </c>
    </row>
    <row r="66" spans="2:45">
      <c r="B66" s="2" t="s">
        <v>58</v>
      </c>
      <c r="C66" s="4">
        <v>0.25</v>
      </c>
      <c r="D66" s="4">
        <v>0.25</v>
      </c>
      <c r="E66" s="4">
        <v>0.25</v>
      </c>
      <c r="F66" s="4">
        <v>0.25</v>
      </c>
      <c r="G66" s="4">
        <v>0.25</v>
      </c>
      <c r="H66" s="4">
        <v>0.25</v>
      </c>
      <c r="I66" s="4">
        <v>0.25</v>
      </c>
      <c r="J66" s="4">
        <v>0.25</v>
      </c>
      <c r="K66" s="4">
        <v>0.25</v>
      </c>
      <c r="L66" s="4">
        <v>0.25</v>
      </c>
      <c r="M66" s="4">
        <v>0.25</v>
      </c>
      <c r="N66" s="4">
        <v>0.25</v>
      </c>
      <c r="O66" s="4">
        <v>0.25</v>
      </c>
      <c r="P66" s="4">
        <v>0.25</v>
      </c>
      <c r="Q66" s="4">
        <v>0.25</v>
      </c>
      <c r="R66" s="4">
        <v>0.25</v>
      </c>
      <c r="S66" s="4">
        <v>0.25</v>
      </c>
      <c r="T66" s="4">
        <v>0.5</v>
      </c>
      <c r="U66" s="4">
        <v>0.5</v>
      </c>
      <c r="V66" s="4">
        <v>0.25</v>
      </c>
      <c r="W66" s="4">
        <v>0.5</v>
      </c>
      <c r="X66" s="4">
        <v>0.25</v>
      </c>
      <c r="Y66" s="4">
        <v>1</v>
      </c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Q66" s="4" t="s">
        <v>58</v>
      </c>
      <c r="AR66" s="31">
        <v>0.128</v>
      </c>
      <c r="AS66" s="31">
        <v>0.10100000000000001</v>
      </c>
    </row>
    <row r="67" spans="2:45">
      <c r="B67" s="2" t="s">
        <v>59</v>
      </c>
      <c r="C67" s="4">
        <v>0.25</v>
      </c>
      <c r="D67" s="4">
        <v>0.25</v>
      </c>
      <c r="E67" s="4">
        <v>0.25</v>
      </c>
      <c r="F67" s="4">
        <v>0.25</v>
      </c>
      <c r="G67" s="4">
        <v>0.25</v>
      </c>
      <c r="H67" s="4">
        <v>0.25</v>
      </c>
      <c r="I67" s="4">
        <v>0.25</v>
      </c>
      <c r="J67" s="4">
        <v>0.25</v>
      </c>
      <c r="K67" s="4">
        <v>0.25</v>
      </c>
      <c r="L67" s="4">
        <v>0.25</v>
      </c>
      <c r="M67" s="4">
        <v>0.25</v>
      </c>
      <c r="N67" s="4">
        <v>0.25</v>
      </c>
      <c r="O67" s="4">
        <v>0.25</v>
      </c>
      <c r="P67" s="4">
        <v>0.25</v>
      </c>
      <c r="Q67" s="4">
        <v>0.25</v>
      </c>
      <c r="R67" s="4">
        <v>0.25</v>
      </c>
      <c r="S67" s="4">
        <v>0.25</v>
      </c>
      <c r="T67" s="4">
        <v>0.25</v>
      </c>
      <c r="U67" s="4">
        <v>0.25</v>
      </c>
      <c r="V67" s="4">
        <v>0.25</v>
      </c>
      <c r="W67" s="4">
        <v>0.25</v>
      </c>
      <c r="X67" s="4">
        <v>0.25</v>
      </c>
      <c r="Y67" s="4">
        <v>0.25</v>
      </c>
      <c r="Z67" s="4">
        <v>1</v>
      </c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Q67" s="4" t="s">
        <v>59</v>
      </c>
      <c r="AR67" s="31">
        <v>0.128</v>
      </c>
      <c r="AS67" s="31">
        <v>0.10100000000000001</v>
      </c>
    </row>
    <row r="68" spans="2:45">
      <c r="B68" s="2" t="s">
        <v>60</v>
      </c>
      <c r="C68" s="4">
        <v>0.25</v>
      </c>
      <c r="D68" s="4">
        <v>0.25</v>
      </c>
      <c r="E68" s="4">
        <v>0.25</v>
      </c>
      <c r="F68" s="4">
        <v>0.25</v>
      </c>
      <c r="G68" s="4">
        <v>0.25</v>
      </c>
      <c r="H68" s="4">
        <v>0.25</v>
      </c>
      <c r="I68" s="4">
        <v>0.25</v>
      </c>
      <c r="J68" s="4">
        <v>0.25</v>
      </c>
      <c r="K68" s="4">
        <v>0.25</v>
      </c>
      <c r="L68" s="4">
        <v>0.25</v>
      </c>
      <c r="M68" s="4">
        <v>0.25</v>
      </c>
      <c r="N68" s="4">
        <v>0.25</v>
      </c>
      <c r="O68" s="4">
        <v>0.25</v>
      </c>
      <c r="P68" s="4">
        <v>0.25</v>
      </c>
      <c r="Q68" s="4">
        <v>0.25</v>
      </c>
      <c r="R68" s="4">
        <v>0.25</v>
      </c>
      <c r="S68" s="4">
        <v>0.25</v>
      </c>
      <c r="T68" s="4">
        <v>0.25</v>
      </c>
      <c r="U68" s="4">
        <v>0.5</v>
      </c>
      <c r="V68" s="4">
        <v>0.5</v>
      </c>
      <c r="W68" s="4">
        <v>0.5</v>
      </c>
      <c r="X68" s="4">
        <v>0.5</v>
      </c>
      <c r="Y68" s="4">
        <v>0.5</v>
      </c>
      <c r="Z68" s="4">
        <v>0.5</v>
      </c>
      <c r="AA68" s="4">
        <v>1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Q68" s="4" t="s">
        <v>60</v>
      </c>
      <c r="AR68" s="31">
        <v>0.128</v>
      </c>
      <c r="AS68" s="31">
        <v>0.10100000000000001</v>
      </c>
    </row>
    <row r="69" spans="2:45">
      <c r="B69" s="37" t="s">
        <v>74</v>
      </c>
      <c r="C69" s="4">
        <v>0.25</v>
      </c>
      <c r="D69" s="4">
        <v>0.25</v>
      </c>
      <c r="E69" s="4">
        <v>0.25</v>
      </c>
      <c r="F69" s="4">
        <v>0.25</v>
      </c>
      <c r="G69" s="4">
        <v>0.25</v>
      </c>
      <c r="H69" s="4">
        <v>0.25</v>
      </c>
      <c r="I69" s="4">
        <v>0.25</v>
      </c>
      <c r="J69" s="4">
        <v>0.25</v>
      </c>
      <c r="K69" s="4">
        <v>0.25</v>
      </c>
      <c r="L69" s="4">
        <v>0.25</v>
      </c>
      <c r="M69" s="4">
        <v>0.25</v>
      </c>
      <c r="N69" s="4">
        <v>0.25</v>
      </c>
      <c r="O69" s="4">
        <v>0.25</v>
      </c>
      <c r="P69" s="4">
        <v>0.25</v>
      </c>
      <c r="Q69" s="4">
        <v>0.25</v>
      </c>
      <c r="R69" s="4">
        <v>0.25</v>
      </c>
      <c r="S69" s="4">
        <v>0.25</v>
      </c>
      <c r="T69" s="4">
        <v>0.5</v>
      </c>
      <c r="U69" s="4">
        <v>0.25</v>
      </c>
      <c r="V69" s="4">
        <v>0.25</v>
      </c>
      <c r="W69" s="4">
        <v>0.25</v>
      </c>
      <c r="X69" s="4">
        <v>0.25</v>
      </c>
      <c r="Y69" s="4">
        <v>0.5</v>
      </c>
      <c r="Z69" s="4">
        <v>0.25</v>
      </c>
      <c r="AA69" s="4">
        <v>0.25</v>
      </c>
      <c r="AB69" s="4">
        <v>1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Q69" s="4" t="s">
        <v>74</v>
      </c>
      <c r="AR69" s="31">
        <v>0.121</v>
      </c>
      <c r="AS69" s="31">
        <v>0.19700000000000001</v>
      </c>
    </row>
    <row r="70" spans="2:45">
      <c r="B70" s="37" t="s">
        <v>75</v>
      </c>
      <c r="C70" s="4">
        <v>0.25</v>
      </c>
      <c r="D70" s="4">
        <v>0.25</v>
      </c>
      <c r="E70" s="4">
        <v>0.25</v>
      </c>
      <c r="F70" s="4">
        <v>0.25</v>
      </c>
      <c r="G70" s="4">
        <v>0.25</v>
      </c>
      <c r="H70" s="4">
        <v>0.25</v>
      </c>
      <c r="I70" s="4">
        <v>0.25</v>
      </c>
      <c r="J70" s="4">
        <v>0.25</v>
      </c>
      <c r="K70" s="4">
        <v>0.25</v>
      </c>
      <c r="L70" s="4">
        <v>0.25</v>
      </c>
      <c r="M70" s="4">
        <v>0.25</v>
      </c>
      <c r="N70" s="4">
        <v>0.25</v>
      </c>
      <c r="O70" s="4">
        <v>0.25</v>
      </c>
      <c r="P70" s="4">
        <v>0.25</v>
      </c>
      <c r="Q70" s="4">
        <v>0.25</v>
      </c>
      <c r="R70" s="4">
        <v>0.25</v>
      </c>
      <c r="S70" s="4">
        <v>0.25</v>
      </c>
      <c r="T70" s="4">
        <v>0.5</v>
      </c>
      <c r="U70" s="4">
        <v>0.25</v>
      </c>
      <c r="V70" s="4">
        <v>0.25</v>
      </c>
      <c r="W70" s="4">
        <v>0.25</v>
      </c>
      <c r="X70" s="4">
        <v>0.25</v>
      </c>
      <c r="Y70" s="4">
        <v>0.5</v>
      </c>
      <c r="Z70" s="4">
        <v>0.25</v>
      </c>
      <c r="AA70" s="4">
        <v>0.25</v>
      </c>
      <c r="AB70" s="4">
        <v>0.75</v>
      </c>
      <c r="AC70" s="4">
        <v>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Q70" s="4" t="s">
        <v>75</v>
      </c>
      <c r="AR70" s="31">
        <v>0.121</v>
      </c>
      <c r="AS70" s="31">
        <v>0.19700000000000001</v>
      </c>
    </row>
    <row r="71" spans="2:45">
      <c r="B71" s="37" t="s">
        <v>76</v>
      </c>
      <c r="C71" s="4">
        <v>0.25</v>
      </c>
      <c r="D71" s="4">
        <v>0.25</v>
      </c>
      <c r="E71" s="4">
        <v>0.25</v>
      </c>
      <c r="F71" s="4">
        <v>0.25</v>
      </c>
      <c r="G71" s="4">
        <v>0.25</v>
      </c>
      <c r="H71" s="4">
        <v>0.25</v>
      </c>
      <c r="I71" s="4">
        <v>0.25</v>
      </c>
      <c r="J71" s="4">
        <v>0.25</v>
      </c>
      <c r="K71" s="4">
        <v>0.25</v>
      </c>
      <c r="L71" s="4">
        <v>0.25</v>
      </c>
      <c r="M71" s="4">
        <v>0.25</v>
      </c>
      <c r="N71" s="4">
        <v>0.25</v>
      </c>
      <c r="O71" s="4">
        <v>0.25</v>
      </c>
      <c r="P71" s="4">
        <v>0.25</v>
      </c>
      <c r="Q71" s="4">
        <v>0.25</v>
      </c>
      <c r="R71" s="4">
        <v>0.25</v>
      </c>
      <c r="S71" s="4">
        <v>0.25</v>
      </c>
      <c r="T71" s="4">
        <v>0.5</v>
      </c>
      <c r="U71" s="4">
        <v>0.25</v>
      </c>
      <c r="V71" s="4">
        <v>0.25</v>
      </c>
      <c r="W71" s="4">
        <v>0.25</v>
      </c>
      <c r="X71" s="4">
        <v>0.25</v>
      </c>
      <c r="Y71" s="4">
        <v>0.5</v>
      </c>
      <c r="Z71" s="4">
        <v>0.25</v>
      </c>
      <c r="AA71" s="4">
        <v>0.25</v>
      </c>
      <c r="AB71" s="4">
        <v>0.75</v>
      </c>
      <c r="AC71" s="4">
        <v>0.75</v>
      </c>
      <c r="AD71" s="4">
        <v>1</v>
      </c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Q71" s="4" t="s">
        <v>76</v>
      </c>
      <c r="AR71" s="31">
        <v>0.121</v>
      </c>
      <c r="AS71" s="31">
        <v>0.19700000000000001</v>
      </c>
    </row>
    <row r="72" spans="2:45">
      <c r="B72" s="37" t="s">
        <v>77</v>
      </c>
      <c r="C72" s="4">
        <v>0.25</v>
      </c>
      <c r="D72" s="4">
        <v>0.25</v>
      </c>
      <c r="E72" s="4">
        <v>0.25</v>
      </c>
      <c r="F72" s="4">
        <v>0.25</v>
      </c>
      <c r="G72" s="4">
        <v>0.25</v>
      </c>
      <c r="H72" s="4">
        <v>0.25</v>
      </c>
      <c r="I72" s="4">
        <v>0.25</v>
      </c>
      <c r="J72" s="4">
        <v>0.25</v>
      </c>
      <c r="K72" s="4">
        <v>0.25</v>
      </c>
      <c r="L72" s="4">
        <v>0.25</v>
      </c>
      <c r="M72" s="4">
        <v>0.25</v>
      </c>
      <c r="N72" s="4">
        <v>0.25</v>
      </c>
      <c r="O72" s="4">
        <v>0.25</v>
      </c>
      <c r="P72" s="4">
        <v>0.25</v>
      </c>
      <c r="Q72" s="4">
        <v>0.25</v>
      </c>
      <c r="R72" s="4">
        <v>0.25</v>
      </c>
      <c r="S72" s="4">
        <v>0.25</v>
      </c>
      <c r="T72" s="4">
        <v>0.25</v>
      </c>
      <c r="U72" s="4">
        <v>0.25</v>
      </c>
      <c r="V72" s="4">
        <v>0.25</v>
      </c>
      <c r="W72" s="4">
        <v>0.25</v>
      </c>
      <c r="X72" s="4">
        <v>0.25</v>
      </c>
      <c r="Y72" s="4">
        <v>0.25</v>
      </c>
      <c r="Z72" s="4">
        <v>0.25</v>
      </c>
      <c r="AA72" s="4">
        <v>0.25</v>
      </c>
      <c r="AB72" s="4">
        <v>0.25</v>
      </c>
      <c r="AC72" s="4">
        <v>0.75</v>
      </c>
      <c r="AD72" s="4">
        <v>0.75</v>
      </c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/>
      <c r="AQ72" s="4" t="s">
        <v>77</v>
      </c>
      <c r="AR72" s="31">
        <v>9.0999999999999998E-2</v>
      </c>
      <c r="AS72" s="31">
        <v>0.23200000000000001</v>
      </c>
    </row>
    <row r="73" spans="2:45">
      <c r="B73" s="37" t="s">
        <v>78</v>
      </c>
      <c r="C73" s="4">
        <v>0.25</v>
      </c>
      <c r="D73" s="4">
        <v>0.25</v>
      </c>
      <c r="E73" s="4">
        <v>0.25</v>
      </c>
      <c r="F73" s="4">
        <v>0.25</v>
      </c>
      <c r="G73" s="4">
        <v>0.25</v>
      </c>
      <c r="H73" s="4">
        <v>0.25</v>
      </c>
      <c r="I73" s="4">
        <v>0.25</v>
      </c>
      <c r="J73" s="4">
        <v>0.25</v>
      </c>
      <c r="K73" s="4">
        <v>0.25</v>
      </c>
      <c r="L73" s="4">
        <v>0.25</v>
      </c>
      <c r="M73" s="4">
        <v>0.25</v>
      </c>
      <c r="N73" s="4">
        <v>0.25</v>
      </c>
      <c r="O73" s="4">
        <v>0.25</v>
      </c>
      <c r="P73" s="4">
        <v>0.25</v>
      </c>
      <c r="Q73" s="4">
        <v>0.25</v>
      </c>
      <c r="R73" s="4">
        <v>0.25</v>
      </c>
      <c r="S73" s="4">
        <v>0.25</v>
      </c>
      <c r="T73" s="4">
        <v>0.25</v>
      </c>
      <c r="U73" s="4">
        <v>0.25</v>
      </c>
      <c r="V73" s="4">
        <v>0.25</v>
      </c>
      <c r="W73" s="4">
        <v>0.25</v>
      </c>
      <c r="X73" s="4">
        <v>0.25</v>
      </c>
      <c r="Y73" s="4">
        <v>0.25</v>
      </c>
      <c r="Z73" s="4">
        <v>0.5</v>
      </c>
      <c r="AA73" s="4">
        <v>0.25</v>
      </c>
      <c r="AB73" s="4">
        <v>0.25</v>
      </c>
      <c r="AC73" s="4">
        <v>0.25</v>
      </c>
      <c r="AD73" s="4">
        <v>0.25</v>
      </c>
      <c r="AE73" s="4">
        <v>0.25</v>
      </c>
      <c r="AF73" s="4">
        <v>1</v>
      </c>
      <c r="AG73" s="4"/>
      <c r="AH73" s="4"/>
      <c r="AI73" s="4"/>
      <c r="AJ73" s="4"/>
      <c r="AK73" s="4"/>
      <c r="AL73" s="4"/>
      <c r="AM73" s="4"/>
      <c r="AN73" s="4"/>
      <c r="AO73" s="4"/>
      <c r="AQ73" s="4" t="s">
        <v>78</v>
      </c>
      <c r="AR73" s="31">
        <v>0.123</v>
      </c>
      <c r="AS73" s="31">
        <v>0.193</v>
      </c>
    </row>
    <row r="74" spans="2:45">
      <c r="B74" s="2" t="s">
        <v>61</v>
      </c>
      <c r="C74" s="4">
        <v>0.25</v>
      </c>
      <c r="D74" s="4">
        <v>0.25</v>
      </c>
      <c r="E74" s="4">
        <v>0.25</v>
      </c>
      <c r="F74" s="4">
        <v>0.25</v>
      </c>
      <c r="G74" s="4">
        <v>0.25</v>
      </c>
      <c r="H74" s="4">
        <v>0.25</v>
      </c>
      <c r="I74" s="4">
        <v>0.25</v>
      </c>
      <c r="J74" s="4">
        <v>0.25</v>
      </c>
      <c r="K74" s="4">
        <v>0.25</v>
      </c>
      <c r="L74" s="4">
        <v>0.25</v>
      </c>
      <c r="M74" s="4">
        <v>0.25</v>
      </c>
      <c r="N74" s="4">
        <v>0.25</v>
      </c>
      <c r="O74" s="4">
        <v>0.25</v>
      </c>
      <c r="P74" s="4">
        <v>0.25</v>
      </c>
      <c r="Q74" s="4">
        <v>0.25</v>
      </c>
      <c r="R74" s="4">
        <v>0.25</v>
      </c>
      <c r="S74" s="4">
        <v>0.25</v>
      </c>
      <c r="T74" s="4">
        <v>0.25</v>
      </c>
      <c r="U74" s="4">
        <v>0.25</v>
      </c>
      <c r="V74" s="4">
        <v>0.25</v>
      </c>
      <c r="W74" s="4">
        <v>0.25</v>
      </c>
      <c r="X74" s="4">
        <v>0.25</v>
      </c>
      <c r="Y74" s="4">
        <v>0.25</v>
      </c>
      <c r="Z74" s="4">
        <v>0.25</v>
      </c>
      <c r="AA74" s="4">
        <v>0.25</v>
      </c>
      <c r="AB74" s="4">
        <v>0.25</v>
      </c>
      <c r="AC74" s="4">
        <v>0.25</v>
      </c>
      <c r="AD74" s="4">
        <v>0.25</v>
      </c>
      <c r="AE74" s="4">
        <v>0.25</v>
      </c>
      <c r="AF74" s="4">
        <v>0.25</v>
      </c>
      <c r="AG74" s="4">
        <v>1</v>
      </c>
      <c r="AH74" s="4"/>
      <c r="AI74" s="4"/>
      <c r="AJ74" s="4"/>
      <c r="AK74" s="4"/>
      <c r="AL74" s="4"/>
      <c r="AM74" s="4"/>
      <c r="AN74" s="4"/>
      <c r="AO74" s="4"/>
      <c r="AQ74" s="4" t="s">
        <v>61</v>
      </c>
      <c r="AR74" s="31">
        <v>9.0999999999999998E-2</v>
      </c>
      <c r="AS74" s="31">
        <v>0.23200000000000001</v>
      </c>
    </row>
    <row r="75" spans="2:45">
      <c r="B75" s="2" t="s">
        <v>62</v>
      </c>
      <c r="C75" s="4">
        <v>0.25</v>
      </c>
      <c r="D75" s="4">
        <v>0.25</v>
      </c>
      <c r="E75" s="4">
        <v>0.25</v>
      </c>
      <c r="F75" s="4">
        <v>0.25</v>
      </c>
      <c r="G75" s="4">
        <v>0.25</v>
      </c>
      <c r="H75" s="4">
        <v>0.25</v>
      </c>
      <c r="I75" s="4">
        <v>0.25</v>
      </c>
      <c r="J75" s="4">
        <v>0.25</v>
      </c>
      <c r="K75" s="4">
        <v>0.25</v>
      </c>
      <c r="L75" s="4">
        <v>0.25</v>
      </c>
      <c r="M75" s="4">
        <v>0.25</v>
      </c>
      <c r="N75" s="4">
        <v>0.25</v>
      </c>
      <c r="O75" s="4">
        <v>0.25</v>
      </c>
      <c r="P75" s="4">
        <v>0.25</v>
      </c>
      <c r="Q75" s="4">
        <v>0.25</v>
      </c>
      <c r="R75" s="4">
        <v>0.25</v>
      </c>
      <c r="S75" s="4">
        <v>0.25</v>
      </c>
      <c r="T75" s="4">
        <v>0.25</v>
      </c>
      <c r="U75" s="4">
        <v>0.25</v>
      </c>
      <c r="V75" s="4">
        <v>0.25</v>
      </c>
      <c r="W75" s="4">
        <v>0.25</v>
      </c>
      <c r="X75" s="4">
        <v>0.25</v>
      </c>
      <c r="Y75" s="4">
        <v>0.25</v>
      </c>
      <c r="Z75" s="4">
        <v>0.25</v>
      </c>
      <c r="AA75" s="4">
        <v>0.25</v>
      </c>
      <c r="AB75" s="4">
        <v>0.25</v>
      </c>
      <c r="AC75" s="4">
        <v>0.25</v>
      </c>
      <c r="AD75" s="4">
        <v>0.25</v>
      </c>
      <c r="AE75" s="4">
        <v>0.25</v>
      </c>
      <c r="AF75" s="4">
        <v>0.25</v>
      </c>
      <c r="AG75" s="4">
        <v>0.25</v>
      </c>
      <c r="AH75" s="4">
        <v>1</v>
      </c>
      <c r="AI75" s="4"/>
      <c r="AJ75" s="4"/>
      <c r="AK75" s="4"/>
      <c r="AL75" s="4"/>
      <c r="AM75" s="4"/>
      <c r="AN75" s="4"/>
      <c r="AO75" s="4"/>
      <c r="AQ75" s="4" t="s">
        <v>62</v>
      </c>
      <c r="AR75" s="31">
        <v>9.0999999999999998E-2</v>
      </c>
      <c r="AS75" s="31">
        <v>0.23200000000000001</v>
      </c>
    </row>
    <row r="76" spans="2:45">
      <c r="B76" s="2" t="s">
        <v>63</v>
      </c>
      <c r="C76" s="4">
        <v>0.5</v>
      </c>
      <c r="D76" s="4">
        <v>0.5</v>
      </c>
      <c r="E76" s="4">
        <v>0.5</v>
      </c>
      <c r="F76" s="4">
        <v>0.5</v>
      </c>
      <c r="G76" s="4">
        <v>0.5</v>
      </c>
      <c r="H76" s="4">
        <v>0.5</v>
      </c>
      <c r="I76" s="4">
        <v>0.5</v>
      </c>
      <c r="J76" s="4">
        <v>0.5</v>
      </c>
      <c r="K76" s="4">
        <v>0.5</v>
      </c>
      <c r="L76" s="4">
        <v>0.5</v>
      </c>
      <c r="M76" s="4">
        <v>0.5</v>
      </c>
      <c r="N76" s="4">
        <v>0.5</v>
      </c>
      <c r="O76" s="4">
        <v>0.5</v>
      </c>
      <c r="P76" s="4">
        <v>0.5</v>
      </c>
      <c r="Q76" s="4">
        <v>0.5</v>
      </c>
      <c r="R76" s="4">
        <v>0.5</v>
      </c>
      <c r="S76" s="4">
        <v>0.5</v>
      </c>
      <c r="T76" s="4">
        <v>0.5</v>
      </c>
      <c r="U76" s="4">
        <v>0.5</v>
      </c>
      <c r="V76" s="4">
        <v>0.5</v>
      </c>
      <c r="W76" s="4">
        <v>0.5</v>
      </c>
      <c r="X76" s="4">
        <v>0.5</v>
      </c>
      <c r="Y76" s="4">
        <v>0.5</v>
      </c>
      <c r="Z76" s="4">
        <v>0.5</v>
      </c>
      <c r="AA76" s="4">
        <v>0.5</v>
      </c>
      <c r="AB76" s="4">
        <v>0.5</v>
      </c>
      <c r="AC76" s="4">
        <v>0.5</v>
      </c>
      <c r="AD76" s="4">
        <v>0.5</v>
      </c>
      <c r="AE76" s="4">
        <v>0.5</v>
      </c>
      <c r="AF76" s="4">
        <v>0.5</v>
      </c>
      <c r="AG76" s="4">
        <v>0.5</v>
      </c>
      <c r="AH76" s="4">
        <v>0.5</v>
      </c>
      <c r="AI76" s="4">
        <v>1</v>
      </c>
      <c r="AJ76" s="4"/>
      <c r="AK76" s="4"/>
      <c r="AL76" s="4"/>
      <c r="AM76" s="4"/>
      <c r="AN76" s="4"/>
      <c r="AO76" s="4"/>
      <c r="AQ76" s="4" t="s">
        <v>63</v>
      </c>
      <c r="AR76" s="31">
        <v>9.0999999999999998E-2</v>
      </c>
      <c r="AS76" s="31">
        <v>0.23200000000000001</v>
      </c>
    </row>
    <row r="77" spans="2:45">
      <c r="B77" s="2" t="s">
        <v>64</v>
      </c>
      <c r="C77" s="4">
        <v>0.25</v>
      </c>
      <c r="D77" s="4">
        <v>0.25</v>
      </c>
      <c r="E77" s="4">
        <v>0.25</v>
      </c>
      <c r="F77" s="4">
        <v>0.25</v>
      </c>
      <c r="G77" s="4">
        <v>0.25</v>
      </c>
      <c r="H77" s="4">
        <v>0.25</v>
      </c>
      <c r="I77" s="4">
        <v>0.25</v>
      </c>
      <c r="J77" s="4">
        <v>0.25</v>
      </c>
      <c r="K77" s="4">
        <v>0.25</v>
      </c>
      <c r="L77" s="4">
        <v>0.25</v>
      </c>
      <c r="M77" s="4">
        <v>0.25</v>
      </c>
      <c r="N77" s="4">
        <v>0.25</v>
      </c>
      <c r="O77" s="4">
        <v>0.25</v>
      </c>
      <c r="P77" s="4">
        <v>0.25</v>
      </c>
      <c r="Q77" s="4">
        <v>0.25</v>
      </c>
      <c r="R77" s="4">
        <v>0.25</v>
      </c>
      <c r="S77" s="4">
        <v>0.25</v>
      </c>
      <c r="T77" s="4">
        <v>0.25</v>
      </c>
      <c r="U77" s="4">
        <v>0.25</v>
      </c>
      <c r="V77" s="4">
        <v>0.25</v>
      </c>
      <c r="W77" s="4">
        <v>0.25</v>
      </c>
      <c r="X77" s="4">
        <v>0.25</v>
      </c>
      <c r="Y77" s="4">
        <v>0.25</v>
      </c>
      <c r="Z77" s="4">
        <v>0.25</v>
      </c>
      <c r="AA77" s="4">
        <v>0.25</v>
      </c>
      <c r="AB77" s="4">
        <v>0.25</v>
      </c>
      <c r="AC77" s="4">
        <v>0.25</v>
      </c>
      <c r="AD77" s="4">
        <v>0.25</v>
      </c>
      <c r="AE77" s="4">
        <v>0.25</v>
      </c>
      <c r="AF77" s="4">
        <v>0.25</v>
      </c>
      <c r="AG77" s="4">
        <v>0.25</v>
      </c>
      <c r="AH77" s="4">
        <v>0.25</v>
      </c>
      <c r="AI77" s="4">
        <v>0.25</v>
      </c>
      <c r="AJ77" s="4">
        <v>1</v>
      </c>
      <c r="AK77" s="4"/>
      <c r="AL77" s="4"/>
      <c r="AM77" s="4"/>
      <c r="AN77" s="4"/>
      <c r="AO77" s="4"/>
      <c r="AQ77" s="4" t="s">
        <v>64</v>
      </c>
      <c r="AR77" s="31">
        <v>0.14899999999999999</v>
      </c>
      <c r="AS77" s="31">
        <v>0.11</v>
      </c>
    </row>
    <row r="78" spans="2:45">
      <c r="B78" s="2" t="s">
        <v>65</v>
      </c>
      <c r="C78" s="4">
        <v>0.25</v>
      </c>
      <c r="D78" s="4">
        <v>0.25</v>
      </c>
      <c r="E78" s="4">
        <v>0.25</v>
      </c>
      <c r="F78" s="4">
        <v>0.25</v>
      </c>
      <c r="G78" s="4">
        <v>0.25</v>
      </c>
      <c r="H78" s="4">
        <v>0.25</v>
      </c>
      <c r="I78" s="4">
        <v>0.25</v>
      </c>
      <c r="J78" s="4">
        <v>0.25</v>
      </c>
      <c r="K78" s="4">
        <v>0.25</v>
      </c>
      <c r="L78" s="4">
        <v>0.25</v>
      </c>
      <c r="M78" s="4">
        <v>0.25</v>
      </c>
      <c r="N78" s="4">
        <v>0.25</v>
      </c>
      <c r="O78" s="4">
        <v>0.25</v>
      </c>
      <c r="P78" s="4">
        <v>0.25</v>
      </c>
      <c r="Q78" s="4">
        <v>0.25</v>
      </c>
      <c r="R78" s="4">
        <v>0.25</v>
      </c>
      <c r="S78" s="4">
        <v>0.25</v>
      </c>
      <c r="T78" s="4">
        <v>0.25</v>
      </c>
      <c r="U78" s="4">
        <v>0.25</v>
      </c>
      <c r="V78" s="4">
        <v>0.25</v>
      </c>
      <c r="W78" s="4">
        <v>0.25</v>
      </c>
      <c r="X78" s="4">
        <v>0.25</v>
      </c>
      <c r="Y78" s="4">
        <v>0.25</v>
      </c>
      <c r="Z78" s="4">
        <v>0.25</v>
      </c>
      <c r="AA78" s="4">
        <v>0.25</v>
      </c>
      <c r="AB78" s="4">
        <v>0.25</v>
      </c>
      <c r="AC78" s="4">
        <v>0.25</v>
      </c>
      <c r="AD78" s="4">
        <v>0.25</v>
      </c>
      <c r="AE78" s="4">
        <v>0.25</v>
      </c>
      <c r="AF78" s="4">
        <v>0.25</v>
      </c>
      <c r="AG78" s="4">
        <v>0.25</v>
      </c>
      <c r="AH78" s="4">
        <v>0.25</v>
      </c>
      <c r="AI78" s="4">
        <v>0.25</v>
      </c>
      <c r="AJ78" s="4">
        <v>0.75</v>
      </c>
      <c r="AK78" s="4">
        <v>1</v>
      </c>
      <c r="AL78" s="4"/>
      <c r="AM78" s="4"/>
      <c r="AN78" s="4"/>
      <c r="AO78" s="4"/>
      <c r="AQ78" s="4" t="s">
        <v>65</v>
      </c>
      <c r="AR78" s="31">
        <v>0.14899999999999999</v>
      </c>
      <c r="AS78" s="31">
        <v>0.11</v>
      </c>
    </row>
    <row r="79" spans="2:45">
      <c r="B79" s="2" t="s">
        <v>66</v>
      </c>
      <c r="C79" s="4">
        <v>0.25</v>
      </c>
      <c r="D79" s="4">
        <v>0.25</v>
      </c>
      <c r="E79" s="4">
        <v>0.25</v>
      </c>
      <c r="F79" s="4">
        <v>0.25</v>
      </c>
      <c r="G79" s="4">
        <v>0.25</v>
      </c>
      <c r="H79" s="4">
        <v>0.25</v>
      </c>
      <c r="I79" s="4">
        <v>0.25</v>
      </c>
      <c r="J79" s="4">
        <v>0.25</v>
      </c>
      <c r="K79" s="4">
        <v>0.25</v>
      </c>
      <c r="L79" s="4">
        <v>0.25</v>
      </c>
      <c r="M79" s="4">
        <v>0.25</v>
      </c>
      <c r="N79" s="4">
        <v>0.25</v>
      </c>
      <c r="O79" s="4">
        <v>0.25</v>
      </c>
      <c r="P79" s="4">
        <v>0.25</v>
      </c>
      <c r="Q79" s="4">
        <v>0.25</v>
      </c>
      <c r="R79" s="4">
        <v>0.25</v>
      </c>
      <c r="S79" s="4">
        <v>0.25</v>
      </c>
      <c r="T79" s="4">
        <v>0.25</v>
      </c>
      <c r="U79" s="4">
        <v>0.25</v>
      </c>
      <c r="V79" s="4">
        <v>0.25</v>
      </c>
      <c r="W79" s="4">
        <v>0.25</v>
      </c>
      <c r="X79" s="4">
        <v>0.25</v>
      </c>
      <c r="Y79" s="4">
        <v>0.25</v>
      </c>
      <c r="Z79" s="4">
        <v>0.25</v>
      </c>
      <c r="AA79" s="4">
        <v>0.25</v>
      </c>
      <c r="AB79" s="4">
        <v>0.25</v>
      </c>
      <c r="AC79" s="4">
        <v>0.25</v>
      </c>
      <c r="AD79" s="4">
        <v>0.25</v>
      </c>
      <c r="AE79" s="4">
        <v>0.25</v>
      </c>
      <c r="AF79" s="4">
        <v>0.25</v>
      </c>
      <c r="AG79" s="4">
        <v>0.25</v>
      </c>
      <c r="AH79" s="4">
        <v>0.25</v>
      </c>
      <c r="AI79" s="4">
        <v>0.25</v>
      </c>
      <c r="AJ79" s="4">
        <v>0.5</v>
      </c>
      <c r="AK79" s="4">
        <v>0.5</v>
      </c>
      <c r="AL79" s="4">
        <v>1</v>
      </c>
      <c r="AM79" s="4"/>
      <c r="AN79" s="4"/>
      <c r="AO79" s="4"/>
      <c r="AQ79" s="4" t="s">
        <v>66</v>
      </c>
      <c r="AR79" s="31">
        <v>0.14899999999999999</v>
      </c>
      <c r="AS79" s="31">
        <v>0.11</v>
      </c>
    </row>
    <row r="80" spans="2:45">
      <c r="B80" s="2" t="s">
        <v>67</v>
      </c>
      <c r="C80" s="4">
        <v>0.25</v>
      </c>
      <c r="D80" s="4">
        <v>0.25</v>
      </c>
      <c r="E80" s="4">
        <v>0.25</v>
      </c>
      <c r="F80" s="4">
        <v>0.25</v>
      </c>
      <c r="G80" s="4">
        <v>0.25</v>
      </c>
      <c r="H80" s="4">
        <v>0.25</v>
      </c>
      <c r="I80" s="4">
        <v>0.25</v>
      </c>
      <c r="J80" s="4">
        <v>0.25</v>
      </c>
      <c r="K80" s="4">
        <v>0.25</v>
      </c>
      <c r="L80" s="4">
        <v>0.25</v>
      </c>
      <c r="M80" s="4">
        <v>0.25</v>
      </c>
      <c r="N80" s="4">
        <v>0.25</v>
      </c>
      <c r="O80" s="4">
        <v>0.25</v>
      </c>
      <c r="P80" s="4">
        <v>0.25</v>
      </c>
      <c r="Q80" s="4">
        <v>0.25</v>
      </c>
      <c r="R80" s="4">
        <v>0.25</v>
      </c>
      <c r="S80" s="4">
        <v>0.25</v>
      </c>
      <c r="T80" s="4">
        <v>0.25</v>
      </c>
      <c r="U80" s="4">
        <v>0.25</v>
      </c>
      <c r="V80" s="4">
        <v>0.25</v>
      </c>
      <c r="W80" s="4">
        <v>0.25</v>
      </c>
      <c r="X80" s="4">
        <v>0.25</v>
      </c>
      <c r="Y80" s="4">
        <v>0.25</v>
      </c>
      <c r="Z80" s="4">
        <v>0.25</v>
      </c>
      <c r="AA80" s="4">
        <v>0.25</v>
      </c>
      <c r="AB80" s="4">
        <v>0.25</v>
      </c>
      <c r="AC80" s="4">
        <v>0.25</v>
      </c>
      <c r="AD80" s="4">
        <v>0.25</v>
      </c>
      <c r="AE80" s="4">
        <v>0.25</v>
      </c>
      <c r="AF80" s="4">
        <v>0.25</v>
      </c>
      <c r="AG80" s="4">
        <v>0.25</v>
      </c>
      <c r="AH80" s="4">
        <v>0.25</v>
      </c>
      <c r="AI80" s="4">
        <v>0.25</v>
      </c>
      <c r="AJ80" s="4">
        <v>0.25</v>
      </c>
      <c r="AK80" s="4">
        <v>0.25</v>
      </c>
      <c r="AL80" s="4">
        <v>0.25</v>
      </c>
      <c r="AM80" s="4">
        <v>1</v>
      </c>
      <c r="AN80" s="4"/>
      <c r="AO80" s="4"/>
      <c r="AQ80" s="4" t="s">
        <v>67</v>
      </c>
      <c r="AR80" s="31">
        <v>0.14899999999999999</v>
      </c>
      <c r="AS80" s="31">
        <v>0.11</v>
      </c>
    </row>
    <row r="81" spans="1:45">
      <c r="B81" s="2" t="s">
        <v>68</v>
      </c>
      <c r="C81" s="4">
        <v>0.25</v>
      </c>
      <c r="D81" s="4">
        <v>0.25</v>
      </c>
      <c r="E81" s="4">
        <v>0.25</v>
      </c>
      <c r="F81" s="4">
        <v>0.25</v>
      </c>
      <c r="G81" s="4">
        <v>0.25</v>
      </c>
      <c r="H81" s="4">
        <v>0.25</v>
      </c>
      <c r="I81" s="4">
        <v>0.25</v>
      </c>
      <c r="J81" s="4">
        <v>0.25</v>
      </c>
      <c r="K81" s="4">
        <v>0.25</v>
      </c>
      <c r="L81" s="4">
        <v>0.25</v>
      </c>
      <c r="M81" s="4">
        <v>0.25</v>
      </c>
      <c r="N81" s="4">
        <v>0.25</v>
      </c>
      <c r="O81" s="4">
        <v>0.25</v>
      </c>
      <c r="P81" s="4">
        <v>0.25</v>
      </c>
      <c r="Q81" s="4">
        <v>0.25</v>
      </c>
      <c r="R81" s="4">
        <v>0.25</v>
      </c>
      <c r="S81" s="4">
        <v>0.25</v>
      </c>
      <c r="T81" s="4">
        <v>0.25</v>
      </c>
      <c r="U81" s="4">
        <v>0.25</v>
      </c>
      <c r="V81" s="4">
        <v>0.25</v>
      </c>
      <c r="W81" s="4">
        <v>0.25</v>
      </c>
      <c r="X81" s="4">
        <v>0.25</v>
      </c>
      <c r="Y81" s="4">
        <v>0.25</v>
      </c>
      <c r="Z81" s="4">
        <v>0.25</v>
      </c>
      <c r="AA81" s="4">
        <v>0.25</v>
      </c>
      <c r="AB81" s="4">
        <v>0.25</v>
      </c>
      <c r="AC81" s="4">
        <v>0.25</v>
      </c>
      <c r="AD81" s="4">
        <v>0.25</v>
      </c>
      <c r="AE81" s="4">
        <v>0.25</v>
      </c>
      <c r="AF81" s="4">
        <v>0.25</v>
      </c>
      <c r="AG81" s="4">
        <v>0.25</v>
      </c>
      <c r="AH81" s="4">
        <v>0.25</v>
      </c>
      <c r="AI81" s="4">
        <v>0.25</v>
      </c>
      <c r="AJ81" s="4">
        <v>0.25</v>
      </c>
      <c r="AK81" s="4">
        <v>0.25</v>
      </c>
      <c r="AL81" s="4">
        <v>0.25</v>
      </c>
      <c r="AM81" s="4">
        <v>0.25</v>
      </c>
      <c r="AN81" s="4">
        <v>1</v>
      </c>
      <c r="AO81" s="4"/>
      <c r="AQ81" s="4" t="s">
        <v>68</v>
      </c>
      <c r="AR81" s="31">
        <v>0.17499999999999999</v>
      </c>
      <c r="AS81" s="6">
        <v>0.2</v>
      </c>
    </row>
    <row r="82" spans="1:45">
      <c r="B82" s="2" t="s">
        <v>69</v>
      </c>
      <c r="C82" s="7">
        <v>0.25</v>
      </c>
      <c r="D82" s="7">
        <v>0.25</v>
      </c>
      <c r="E82" s="7">
        <v>0.25</v>
      </c>
      <c r="F82" s="7">
        <v>0.25</v>
      </c>
      <c r="G82" s="7">
        <v>0.25</v>
      </c>
      <c r="H82" s="7">
        <v>0.25</v>
      </c>
      <c r="I82" s="7">
        <v>0.25</v>
      </c>
      <c r="J82" s="7">
        <v>0.25</v>
      </c>
      <c r="K82" s="7">
        <v>0.25</v>
      </c>
      <c r="L82" s="7">
        <v>0.25</v>
      </c>
      <c r="M82" s="7">
        <v>0.25</v>
      </c>
      <c r="N82" s="7">
        <v>0.25</v>
      </c>
      <c r="O82" s="7">
        <v>0.25</v>
      </c>
      <c r="P82" s="7">
        <v>0.25</v>
      </c>
      <c r="Q82" s="7">
        <v>0.25</v>
      </c>
      <c r="R82" s="7">
        <v>0.25</v>
      </c>
      <c r="S82" s="7">
        <v>0.25</v>
      </c>
      <c r="T82" s="7">
        <v>0.25</v>
      </c>
      <c r="U82" s="7">
        <v>0.25</v>
      </c>
      <c r="V82" s="7">
        <v>0.25</v>
      </c>
      <c r="W82" s="7">
        <v>0.25</v>
      </c>
      <c r="X82" s="7">
        <v>0.25</v>
      </c>
      <c r="Y82" s="7">
        <v>0.25</v>
      </c>
      <c r="Z82" s="7">
        <v>0.25</v>
      </c>
      <c r="AA82" s="7">
        <v>0.25</v>
      </c>
      <c r="AB82" s="7">
        <v>0.25</v>
      </c>
      <c r="AC82" s="7">
        <v>0.25</v>
      </c>
      <c r="AD82" s="7">
        <v>0.25</v>
      </c>
      <c r="AE82" s="7">
        <v>0.25</v>
      </c>
      <c r="AF82" s="7">
        <v>0.25</v>
      </c>
      <c r="AG82" s="7">
        <v>0.25</v>
      </c>
      <c r="AH82" s="7">
        <v>0.25</v>
      </c>
      <c r="AI82" s="7">
        <v>0.25</v>
      </c>
      <c r="AJ82" s="7">
        <v>0.25</v>
      </c>
      <c r="AK82" s="7">
        <v>0.25</v>
      </c>
      <c r="AL82" s="7">
        <v>0.25</v>
      </c>
      <c r="AM82" s="7">
        <v>0.25</v>
      </c>
      <c r="AN82" s="7">
        <v>0.25</v>
      </c>
      <c r="AO82" s="7">
        <v>1</v>
      </c>
      <c r="AQ82" s="7" t="s">
        <v>69</v>
      </c>
      <c r="AR82" s="32">
        <v>0.17499999999999999</v>
      </c>
      <c r="AS82" s="8">
        <v>0.2</v>
      </c>
    </row>
    <row r="85" spans="1:45">
      <c r="A85" s="27" t="s">
        <v>140</v>
      </c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</row>
    <row r="87" spans="1:45">
      <c r="B87" s="1" t="s">
        <v>97</v>
      </c>
      <c r="C87" s="1">
        <v>1</v>
      </c>
      <c r="D87" s="1">
        <v>2</v>
      </c>
      <c r="E87" s="1">
        <v>3</v>
      </c>
      <c r="F87" s="1">
        <v>5</v>
      </c>
      <c r="G87" s="1">
        <v>10</v>
      </c>
      <c r="H87" s="1">
        <v>15</v>
      </c>
      <c r="I87" s="1">
        <v>20</v>
      </c>
    </row>
    <row r="88" spans="1:45">
      <c r="B88" s="3">
        <v>0</v>
      </c>
      <c r="C88" s="30">
        <v>0</v>
      </c>
      <c r="D88" s="30">
        <v>0</v>
      </c>
      <c r="E88" s="30">
        <v>0</v>
      </c>
      <c r="F88" s="30">
        <v>0</v>
      </c>
      <c r="G88" s="30">
        <v>0</v>
      </c>
      <c r="H88" s="30">
        <v>0</v>
      </c>
      <c r="I88" s="30">
        <v>0</v>
      </c>
    </row>
    <row r="89" spans="1:45">
      <c r="B89" s="4">
        <v>1</v>
      </c>
      <c r="C89" s="31">
        <v>1.4E-3</v>
      </c>
      <c r="D89" s="31">
        <v>2.7000000000000001E-3</v>
      </c>
      <c r="E89" s="31">
        <v>4.0000000000000001E-3</v>
      </c>
      <c r="F89" s="31">
        <v>6.4999999999999997E-3</v>
      </c>
      <c r="G89" s="31">
        <v>1.2999999999999999E-2</v>
      </c>
      <c r="H89" s="31">
        <v>1.9400000000000001E-2</v>
      </c>
      <c r="I89" s="31">
        <v>2.58E-2</v>
      </c>
    </row>
    <row r="90" spans="1:45">
      <c r="B90" s="4">
        <v>2</v>
      </c>
      <c r="C90" s="31">
        <v>2.5999999999999999E-3</v>
      </c>
      <c r="D90" s="31">
        <v>4.4000000000000003E-3</v>
      </c>
      <c r="E90" s="31">
        <v>6.1999999999999998E-3</v>
      </c>
      <c r="F90" s="31">
        <v>9.7999999999999997E-3</v>
      </c>
      <c r="G90" s="31">
        <v>1.8800000000000001E-2</v>
      </c>
      <c r="H90" s="31">
        <v>2.7799999999999998E-2</v>
      </c>
      <c r="I90" s="31">
        <v>3.6799999999999999E-2</v>
      </c>
    </row>
    <row r="91" spans="1:45">
      <c r="B91" s="4">
        <v>3</v>
      </c>
      <c r="C91" s="31">
        <v>3.5999999999999999E-3</v>
      </c>
      <c r="D91" s="31">
        <v>5.7999999999999996E-3</v>
      </c>
      <c r="E91" s="31">
        <v>8.0000000000000002E-3</v>
      </c>
      <c r="F91" s="31">
        <v>1.24E-2</v>
      </c>
      <c r="G91" s="31">
        <v>2.3400000000000001E-2</v>
      </c>
      <c r="H91" s="31">
        <v>3.44E-2</v>
      </c>
      <c r="I91" s="31">
        <v>4.5400000000000003E-2</v>
      </c>
    </row>
    <row r="92" spans="1:45">
      <c r="B92" s="4">
        <v>4</v>
      </c>
      <c r="C92" s="31">
        <v>6.4999999999999997E-3</v>
      </c>
      <c r="D92" s="31">
        <v>9.5999999999999992E-3</v>
      </c>
      <c r="E92" s="31">
        <v>1.2699999999999999E-2</v>
      </c>
      <c r="F92" s="31">
        <v>1.8800000000000001E-2</v>
      </c>
      <c r="G92" s="31">
        <v>3.4200000000000001E-2</v>
      </c>
      <c r="H92" s="31">
        <v>4.9599999999999998E-2</v>
      </c>
      <c r="I92" s="31">
        <v>6.4899999999999999E-2</v>
      </c>
    </row>
    <row r="93" spans="1:45">
      <c r="B93" s="4">
        <v>5</v>
      </c>
      <c r="C93" s="31">
        <v>9.1000000000000004E-3</v>
      </c>
      <c r="D93" s="31">
        <v>1.2800000000000001E-2</v>
      </c>
      <c r="E93" s="31">
        <v>1.66E-2</v>
      </c>
      <c r="F93" s="31">
        <v>2.4E-2</v>
      </c>
      <c r="G93" s="31">
        <v>4.2599999999999999E-2</v>
      </c>
      <c r="H93" s="31">
        <v>6.1100000000000002E-2</v>
      </c>
      <c r="I93" s="31">
        <v>7.9699999999999993E-2</v>
      </c>
    </row>
    <row r="94" spans="1:45">
      <c r="B94" s="4">
        <v>6</v>
      </c>
      <c r="C94" s="31">
        <v>1.0699999999999999E-2</v>
      </c>
      <c r="D94" s="31">
        <v>1.4800000000000001E-2</v>
      </c>
      <c r="E94" s="31">
        <v>1.89E-2</v>
      </c>
      <c r="F94" s="31">
        <v>2.7E-2</v>
      </c>
      <c r="G94" s="31">
        <v>4.7300000000000002E-2</v>
      </c>
      <c r="H94" s="31">
        <v>6.7699999999999996E-2</v>
      </c>
      <c r="I94" s="31">
        <v>8.7999999999999995E-2</v>
      </c>
    </row>
    <row r="95" spans="1:45">
      <c r="B95" s="4">
        <v>7</v>
      </c>
      <c r="C95" s="31">
        <v>1.44E-2</v>
      </c>
      <c r="D95" s="31">
        <v>1.9199999999999998E-2</v>
      </c>
      <c r="E95" s="31">
        <v>2.4E-2</v>
      </c>
      <c r="F95" s="31">
        <v>3.3500000000000002E-2</v>
      </c>
      <c r="G95" s="31">
        <v>5.7500000000000002E-2</v>
      </c>
      <c r="H95" s="31">
        <v>8.14E-2</v>
      </c>
      <c r="I95" s="31">
        <v>0.10539999999999999</v>
      </c>
    </row>
    <row r="96" spans="1:45">
      <c r="B96" s="4">
        <v>8</v>
      </c>
      <c r="C96" s="31">
        <v>1.83E-2</v>
      </c>
      <c r="D96" s="31">
        <v>2.3800000000000002E-2</v>
      </c>
      <c r="E96" s="31">
        <v>2.92E-2</v>
      </c>
      <c r="F96" s="31">
        <v>4.0099999999999997E-2</v>
      </c>
      <c r="G96" s="31">
        <v>6.7400000000000002E-2</v>
      </c>
      <c r="H96" s="31">
        <v>9.4600000000000004E-2</v>
      </c>
      <c r="I96" s="31">
        <v>0.12189999999999999</v>
      </c>
    </row>
    <row r="97" spans="1:45">
      <c r="B97" s="4">
        <v>9</v>
      </c>
      <c r="C97" s="31">
        <v>2.75E-2</v>
      </c>
      <c r="D97" s="31">
        <v>3.4200000000000001E-2</v>
      </c>
      <c r="E97" s="31">
        <v>4.0899999999999999E-2</v>
      </c>
      <c r="F97" s="31">
        <v>5.4300000000000001E-2</v>
      </c>
      <c r="G97" s="31">
        <v>8.7800000000000003E-2</v>
      </c>
      <c r="H97" s="31">
        <v>0.12139999999999999</v>
      </c>
      <c r="I97" s="31">
        <v>0.15490000000000001</v>
      </c>
    </row>
    <row r="98" spans="1:45">
      <c r="B98" s="4">
        <v>10</v>
      </c>
      <c r="C98" s="31">
        <v>3.4099999999999998E-2</v>
      </c>
      <c r="D98" s="31">
        <v>4.1500000000000002E-2</v>
      </c>
      <c r="E98" s="31">
        <v>4.8899999999999999E-2</v>
      </c>
      <c r="F98" s="31">
        <v>6.3700000000000007E-2</v>
      </c>
      <c r="G98" s="31">
        <v>0.10059999999999999</v>
      </c>
      <c r="H98" s="31">
        <v>0.1376</v>
      </c>
      <c r="I98" s="31">
        <v>0.17460000000000001</v>
      </c>
    </row>
    <row r="99" spans="1:45">
      <c r="B99" s="4">
        <v>11</v>
      </c>
      <c r="C99" s="31">
        <v>4.36E-2</v>
      </c>
      <c r="D99" s="31">
        <v>5.1700000000000003E-2</v>
      </c>
      <c r="E99" s="31">
        <v>5.9900000000000002E-2</v>
      </c>
      <c r="F99" s="31">
        <v>7.6200000000000004E-2</v>
      </c>
      <c r="G99" s="31">
        <v>0.11700000000000001</v>
      </c>
      <c r="H99" s="31">
        <v>0.1578</v>
      </c>
      <c r="I99" s="31">
        <v>0.1986</v>
      </c>
    </row>
    <row r="100" spans="1:45">
      <c r="B100" s="4">
        <v>12</v>
      </c>
      <c r="C100" s="31">
        <v>5.8099999999999999E-2</v>
      </c>
      <c r="D100" s="31">
        <v>6.6900000000000001E-2</v>
      </c>
      <c r="E100" s="31">
        <v>7.5800000000000006E-2</v>
      </c>
      <c r="F100" s="31">
        <v>9.3600000000000003E-2</v>
      </c>
      <c r="G100" s="31">
        <v>0.13800000000000001</v>
      </c>
      <c r="H100" s="31">
        <v>0.18240000000000001</v>
      </c>
      <c r="I100" s="31">
        <v>0.2268</v>
      </c>
    </row>
    <row r="101" spans="1:45">
      <c r="B101" s="4">
        <v>13</v>
      </c>
      <c r="C101" s="31">
        <v>7.5800000000000006E-2</v>
      </c>
      <c r="D101" s="31">
        <v>8.5000000000000006E-2</v>
      </c>
      <c r="E101" s="31">
        <v>9.4200000000000006E-2</v>
      </c>
      <c r="F101" s="31">
        <v>0.11260000000000001</v>
      </c>
      <c r="G101" s="31">
        <v>0.15870000000000001</v>
      </c>
      <c r="H101" s="31">
        <v>0.20469999999999999</v>
      </c>
      <c r="I101" s="31">
        <v>0.25080000000000002</v>
      </c>
    </row>
    <row r="102" spans="1:45">
      <c r="B102" s="4">
        <v>14</v>
      </c>
      <c r="C102" s="31">
        <v>0.1062</v>
      </c>
      <c r="D102" s="31">
        <v>0.11550000000000001</v>
      </c>
      <c r="E102" s="31">
        <v>0.1249</v>
      </c>
      <c r="F102" s="31">
        <v>0.14349999999999999</v>
      </c>
      <c r="G102" s="31">
        <v>0.19020000000000001</v>
      </c>
      <c r="H102" s="31">
        <v>0.2369</v>
      </c>
      <c r="I102" s="31">
        <v>0.28360000000000002</v>
      </c>
    </row>
    <row r="103" spans="1:45">
      <c r="B103" s="4">
        <v>15</v>
      </c>
      <c r="C103" s="31">
        <v>0.13469999999999999</v>
      </c>
      <c r="D103" s="31">
        <v>0.14419999999999999</v>
      </c>
      <c r="E103" s="31">
        <v>0.15359999999999999</v>
      </c>
      <c r="F103" s="31">
        <v>0.1726</v>
      </c>
      <c r="G103" s="31">
        <v>0.21990000000000001</v>
      </c>
      <c r="H103" s="31">
        <v>0.26729999999999998</v>
      </c>
      <c r="I103" s="31">
        <v>0.31459999999999999</v>
      </c>
    </row>
    <row r="104" spans="1:45">
      <c r="B104" s="4">
        <v>16</v>
      </c>
      <c r="C104" s="31">
        <v>0.19289999999999999</v>
      </c>
      <c r="D104" s="31">
        <v>0.20169999999999999</v>
      </c>
      <c r="E104" s="31">
        <v>0.21049999999999999</v>
      </c>
      <c r="F104" s="31">
        <v>0.22819999999999999</v>
      </c>
      <c r="G104" s="31">
        <v>0.2722</v>
      </c>
      <c r="H104" s="31">
        <v>0.31619999999999998</v>
      </c>
      <c r="I104" s="31">
        <v>0.36020000000000002</v>
      </c>
    </row>
    <row r="105" spans="1:45">
      <c r="B105" s="4">
        <v>17</v>
      </c>
      <c r="C105" s="31">
        <v>0.2051</v>
      </c>
      <c r="D105" s="31">
        <v>0.21329999999999999</v>
      </c>
      <c r="E105" s="31">
        <v>0.2215</v>
      </c>
      <c r="F105" s="31">
        <v>0.23799999999999999</v>
      </c>
      <c r="G105" s="31">
        <v>0.27910000000000001</v>
      </c>
      <c r="H105" s="31">
        <v>0.32019999999999998</v>
      </c>
      <c r="I105" s="31">
        <v>0.36130000000000001</v>
      </c>
    </row>
    <row r="106" spans="1:45">
      <c r="B106" s="7">
        <v>18</v>
      </c>
      <c r="C106" s="32">
        <v>0.21149999999999999</v>
      </c>
      <c r="D106" s="32">
        <v>0.21909999999999999</v>
      </c>
      <c r="E106" s="32">
        <v>0.22670000000000001</v>
      </c>
      <c r="F106" s="32">
        <v>0.2419</v>
      </c>
      <c r="G106" s="32">
        <v>0.27979999999999999</v>
      </c>
      <c r="H106" s="32">
        <v>0.32019999999999998</v>
      </c>
      <c r="I106" s="32">
        <v>0.36130000000000001</v>
      </c>
    </row>
    <row r="109" spans="1:45">
      <c r="A109" s="27" t="s">
        <v>139</v>
      </c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</row>
    <row r="111" spans="1:45">
      <c r="B111" s="1" t="s">
        <v>98</v>
      </c>
      <c r="C111" s="1" t="s">
        <v>100</v>
      </c>
      <c r="D111" s="1" t="s">
        <v>99</v>
      </c>
      <c r="F111" s="1" t="s">
        <v>98</v>
      </c>
      <c r="G111" s="1" t="s">
        <v>100</v>
      </c>
      <c r="H111" s="1" t="s">
        <v>99</v>
      </c>
    </row>
    <row r="112" spans="1:45">
      <c r="B112" s="19">
        <v>0.25</v>
      </c>
      <c r="C112" s="33">
        <v>0.78549999999999998</v>
      </c>
      <c r="D112" s="33">
        <v>-0.48060000000000003</v>
      </c>
      <c r="F112" s="19">
        <v>0.25</v>
      </c>
      <c r="G112" s="33">
        <v>0.75890000000000002</v>
      </c>
      <c r="H112" s="33">
        <v>-0.75890000000000002</v>
      </c>
    </row>
    <row r="113" spans="2:8">
      <c r="B113" s="20">
        <v>0.5</v>
      </c>
      <c r="C113" s="34">
        <v>0.78549999999999998</v>
      </c>
      <c r="D113" s="34">
        <v>-0.48060000000000003</v>
      </c>
      <c r="F113" s="20">
        <v>0.5</v>
      </c>
      <c r="G113" s="34">
        <v>0.75890000000000002</v>
      </c>
      <c r="H113" s="34">
        <v>-0.75890000000000002</v>
      </c>
    </row>
    <row r="114" spans="2:8">
      <c r="B114" s="20">
        <v>1</v>
      </c>
      <c r="C114" s="34">
        <v>0.93079999999999996</v>
      </c>
      <c r="D114" s="34">
        <v>-0.52869999999999995</v>
      </c>
      <c r="F114" s="20">
        <v>1</v>
      </c>
      <c r="G114" s="34">
        <v>0.75890000000000002</v>
      </c>
      <c r="H114" s="34">
        <v>-0.75890000000000002</v>
      </c>
    </row>
    <row r="115" spans="2:8">
      <c r="B115" s="20">
        <v>2</v>
      </c>
      <c r="C115" s="34">
        <v>0.82379999999999998</v>
      </c>
      <c r="D115" s="34">
        <v>-0.50729999999999997</v>
      </c>
      <c r="F115" s="20">
        <v>2</v>
      </c>
      <c r="G115" s="34">
        <v>0.75890000000000002</v>
      </c>
      <c r="H115" s="34">
        <v>-0.75890000000000002</v>
      </c>
    </row>
    <row r="116" spans="2:8">
      <c r="B116" s="20">
        <v>3</v>
      </c>
      <c r="C116" s="34">
        <v>0.64680000000000004</v>
      </c>
      <c r="D116" s="34">
        <v>-0.44650000000000001</v>
      </c>
      <c r="F116" s="20">
        <v>3</v>
      </c>
      <c r="G116" s="34">
        <v>0.67359999999999998</v>
      </c>
      <c r="H116" s="34">
        <v>-0.67359999999999998</v>
      </c>
    </row>
    <row r="117" spans="2:8">
      <c r="B117" s="20">
        <v>4</v>
      </c>
      <c r="C117" s="34">
        <v>0.51239999999999997</v>
      </c>
      <c r="D117" s="34">
        <v>-0.3886</v>
      </c>
      <c r="F117" s="20">
        <v>4</v>
      </c>
      <c r="G117" s="34">
        <v>0.6552</v>
      </c>
      <c r="H117" s="34">
        <v>-0.6552</v>
      </c>
    </row>
    <row r="118" spans="2:8">
      <c r="B118" s="20">
        <v>5</v>
      </c>
      <c r="C118" s="34">
        <v>0.42120000000000002</v>
      </c>
      <c r="D118" s="34">
        <v>-0.34370000000000001</v>
      </c>
      <c r="F118" s="20">
        <v>5</v>
      </c>
      <c r="G118" s="34">
        <v>0.63949999999999996</v>
      </c>
      <c r="H118" s="34">
        <v>-0.63949999999999996</v>
      </c>
    </row>
    <row r="119" spans="2:8">
      <c r="B119" s="20">
        <v>6</v>
      </c>
      <c r="C119" s="34">
        <v>0.3649</v>
      </c>
      <c r="D119" s="34">
        <v>-0.31369999999999998</v>
      </c>
      <c r="F119" s="20">
        <v>6</v>
      </c>
      <c r="G119" s="34">
        <v>0.61170000000000002</v>
      </c>
      <c r="H119" s="34">
        <v>-0.61170000000000002</v>
      </c>
    </row>
    <row r="120" spans="2:8">
      <c r="B120" s="20">
        <v>7</v>
      </c>
      <c r="C120" s="34">
        <v>0.33189999999999997</v>
      </c>
      <c r="D120" s="34">
        <v>-0.29549999999999998</v>
      </c>
      <c r="F120" s="20">
        <v>7</v>
      </c>
      <c r="G120" s="34">
        <v>0.58220000000000005</v>
      </c>
      <c r="H120" s="34">
        <v>-0.58220000000000005</v>
      </c>
    </row>
    <row r="121" spans="2:8">
      <c r="B121" s="20">
        <v>8</v>
      </c>
      <c r="C121" s="34">
        <v>0.31190000000000001</v>
      </c>
      <c r="D121" s="34">
        <v>-0.28449999999999998</v>
      </c>
      <c r="F121" s="20">
        <v>8</v>
      </c>
      <c r="G121" s="34">
        <v>0.56740000000000002</v>
      </c>
      <c r="H121" s="34">
        <v>-0.56740000000000002</v>
      </c>
    </row>
    <row r="122" spans="2:8">
      <c r="B122" s="20">
        <v>9</v>
      </c>
      <c r="C122" s="34">
        <v>0.29880000000000001</v>
      </c>
      <c r="D122" s="34">
        <v>-0.27739999999999998</v>
      </c>
      <c r="F122" s="20">
        <v>9</v>
      </c>
      <c r="G122" s="34">
        <v>0.54069999999999996</v>
      </c>
      <c r="H122" s="34">
        <v>-0.54069999999999996</v>
      </c>
    </row>
    <row r="123" spans="2:8">
      <c r="B123" s="20">
        <v>10</v>
      </c>
      <c r="C123" s="34">
        <v>0.2908</v>
      </c>
      <c r="D123" s="34">
        <v>-0.27300000000000002</v>
      </c>
      <c r="F123" s="20">
        <v>10</v>
      </c>
      <c r="G123" s="34">
        <v>0.54810000000000003</v>
      </c>
      <c r="H123" s="34">
        <v>-0.54810000000000003</v>
      </c>
    </row>
    <row r="124" spans="2:8">
      <c r="B124" s="20">
        <v>11</v>
      </c>
      <c r="C124" s="34">
        <v>0.28799999999999998</v>
      </c>
      <c r="D124" s="34">
        <v>-0.27139999999999997</v>
      </c>
      <c r="F124" s="20">
        <v>11</v>
      </c>
      <c r="G124" s="34">
        <v>0.54500000000000004</v>
      </c>
      <c r="H124" s="34">
        <v>-0.54500000000000004</v>
      </c>
    </row>
    <row r="125" spans="2:8">
      <c r="B125" s="20">
        <v>12</v>
      </c>
      <c r="C125" s="34">
        <v>0.28989999999999999</v>
      </c>
      <c r="D125" s="34">
        <v>-0.27260000000000001</v>
      </c>
      <c r="F125" s="20">
        <v>12</v>
      </c>
      <c r="G125" s="34">
        <v>0.53559999999999997</v>
      </c>
      <c r="H125" s="34">
        <v>-0.53559999999999997</v>
      </c>
    </row>
    <row r="126" spans="2:8">
      <c r="B126" s="20">
        <v>13</v>
      </c>
      <c r="C126" s="34">
        <v>0.29549999999999998</v>
      </c>
      <c r="D126" s="34">
        <v>-0.2762</v>
      </c>
      <c r="F126" s="20">
        <v>13</v>
      </c>
      <c r="G126" s="34">
        <v>0.53890000000000005</v>
      </c>
      <c r="H126" s="34">
        <v>-0.53890000000000005</v>
      </c>
    </row>
    <row r="127" spans="2:8">
      <c r="B127" s="20">
        <v>14</v>
      </c>
      <c r="C127" s="34">
        <v>0.30359999999999998</v>
      </c>
      <c r="D127" s="34">
        <v>-0.28120000000000001</v>
      </c>
      <c r="F127" s="20">
        <v>14</v>
      </c>
      <c r="G127" s="34">
        <v>0.54890000000000005</v>
      </c>
      <c r="H127" s="34">
        <v>-0.54890000000000005</v>
      </c>
    </row>
    <row r="128" spans="2:8">
      <c r="B128" s="20">
        <v>15</v>
      </c>
      <c r="C128" s="34">
        <v>0.3135</v>
      </c>
      <c r="D128" s="34">
        <v>-0.28739999999999999</v>
      </c>
      <c r="F128" s="20">
        <v>15</v>
      </c>
      <c r="G128" s="34">
        <v>0.55330000000000001</v>
      </c>
      <c r="H128" s="34">
        <v>-0.55330000000000001</v>
      </c>
    </row>
    <row r="129" spans="2:8">
      <c r="B129" s="20">
        <v>16</v>
      </c>
      <c r="C129" s="34">
        <v>0.3251</v>
      </c>
      <c r="D129" s="34">
        <v>-0.29459999999999997</v>
      </c>
      <c r="F129" s="20">
        <v>16</v>
      </c>
      <c r="G129" s="34">
        <v>0.54400000000000004</v>
      </c>
      <c r="H129" s="34">
        <v>-0.54400000000000004</v>
      </c>
    </row>
    <row r="130" spans="2:8">
      <c r="B130" s="20">
        <v>17</v>
      </c>
      <c r="C130" s="34">
        <v>0.33800000000000002</v>
      </c>
      <c r="D130" s="34">
        <v>-0.3024</v>
      </c>
      <c r="F130" s="20">
        <v>17</v>
      </c>
      <c r="G130" s="34">
        <v>0.5302</v>
      </c>
      <c r="H130" s="34">
        <v>-0.5302</v>
      </c>
    </row>
    <row r="131" spans="2:8">
      <c r="B131" s="20">
        <v>18</v>
      </c>
      <c r="C131" s="34">
        <v>0.35199999999999998</v>
      </c>
      <c r="D131" s="34">
        <v>-0.31090000000000001</v>
      </c>
      <c r="F131" s="20">
        <v>18</v>
      </c>
      <c r="G131" s="34">
        <v>0.52270000000000005</v>
      </c>
      <c r="H131" s="34">
        <v>-0.52270000000000005</v>
      </c>
    </row>
    <row r="132" spans="2:8">
      <c r="B132" s="20">
        <v>19</v>
      </c>
      <c r="C132" s="34">
        <v>0.36659999999999998</v>
      </c>
      <c r="D132" s="34">
        <v>-0.31950000000000001</v>
      </c>
      <c r="F132" s="20">
        <v>19</v>
      </c>
      <c r="G132" s="34">
        <v>0.52229999999999999</v>
      </c>
      <c r="H132" s="34">
        <v>-0.52229999999999999</v>
      </c>
    </row>
    <row r="133" spans="2:8">
      <c r="B133" s="20">
        <v>20</v>
      </c>
      <c r="C133" s="34">
        <v>0.38159999999999999</v>
      </c>
      <c r="D133" s="34">
        <v>-0.32819999999999999</v>
      </c>
      <c r="F133" s="20">
        <v>20</v>
      </c>
      <c r="G133" s="34">
        <v>0.5272</v>
      </c>
      <c r="H133" s="34">
        <v>-0.5272</v>
      </c>
    </row>
    <row r="134" spans="2:8">
      <c r="B134" s="20">
        <v>21</v>
      </c>
      <c r="C134" s="34">
        <v>0.3967</v>
      </c>
      <c r="D134" s="34">
        <v>-0.33679999999999999</v>
      </c>
      <c r="F134" s="20">
        <v>21</v>
      </c>
      <c r="G134" s="34">
        <v>0.53600000000000003</v>
      </c>
      <c r="H134" s="34">
        <v>-0.53600000000000003</v>
      </c>
    </row>
    <row r="135" spans="2:8">
      <c r="B135" s="20">
        <v>22</v>
      </c>
      <c r="C135" s="34">
        <v>0.41149999999999998</v>
      </c>
      <c r="D135" s="34">
        <v>-0.34520000000000001</v>
      </c>
      <c r="F135" s="20">
        <v>22</v>
      </c>
      <c r="G135" s="34">
        <v>0.54810000000000003</v>
      </c>
      <c r="H135" s="34">
        <v>-0.54810000000000003</v>
      </c>
    </row>
    <row r="136" spans="2:8">
      <c r="B136" s="20">
        <v>23</v>
      </c>
      <c r="C136" s="34">
        <v>0.42570000000000002</v>
      </c>
      <c r="D136" s="34">
        <v>-0.35320000000000001</v>
      </c>
      <c r="F136" s="20">
        <v>23</v>
      </c>
      <c r="G136" s="34">
        <v>0.56320000000000003</v>
      </c>
      <c r="H136" s="34">
        <v>-0.56320000000000003</v>
      </c>
    </row>
    <row r="137" spans="2:8">
      <c r="B137" s="20">
        <v>24</v>
      </c>
      <c r="C137" s="34">
        <v>0.43909999999999999</v>
      </c>
      <c r="D137" s="34">
        <v>-0.36070000000000002</v>
      </c>
      <c r="F137" s="20">
        <v>24</v>
      </c>
      <c r="G137" s="34">
        <v>0.58099999999999996</v>
      </c>
      <c r="H137" s="34">
        <v>-0.58099999999999996</v>
      </c>
    </row>
    <row r="138" spans="2:8">
      <c r="B138" s="20">
        <v>25</v>
      </c>
      <c r="C138" s="34">
        <v>0.45179999999999998</v>
      </c>
      <c r="D138" s="34">
        <v>-0.36780000000000002</v>
      </c>
      <c r="F138" s="20">
        <v>25</v>
      </c>
      <c r="G138" s="34">
        <v>0.60109999999999997</v>
      </c>
      <c r="H138" s="34">
        <v>-0.60109999999999997</v>
      </c>
    </row>
    <row r="139" spans="2:8">
      <c r="B139" s="20">
        <v>26</v>
      </c>
      <c r="C139" s="34">
        <v>0.46589999999999998</v>
      </c>
      <c r="D139" s="34">
        <v>-0.37569999999999998</v>
      </c>
      <c r="F139" s="20">
        <v>26</v>
      </c>
      <c r="G139" s="34">
        <v>0.62290000000000001</v>
      </c>
      <c r="H139" s="34">
        <v>-0.62290000000000001</v>
      </c>
    </row>
    <row r="140" spans="2:8">
      <c r="B140" s="20">
        <v>27</v>
      </c>
      <c r="C140" s="34">
        <v>0.4803</v>
      </c>
      <c r="D140" s="34">
        <v>-0.38379999999999997</v>
      </c>
      <c r="F140" s="20">
        <v>27</v>
      </c>
      <c r="G140" s="34">
        <v>0.64419999999999999</v>
      </c>
      <c r="H140" s="34">
        <v>-0.64419999999999999</v>
      </c>
    </row>
    <row r="141" spans="2:8">
      <c r="B141" s="20">
        <v>28</v>
      </c>
      <c r="C141" s="34">
        <v>0.49309999999999998</v>
      </c>
      <c r="D141" s="34">
        <v>-0.39090000000000003</v>
      </c>
      <c r="F141" s="20">
        <v>28</v>
      </c>
      <c r="G141" s="34">
        <v>0.66249999999999998</v>
      </c>
      <c r="H141" s="34">
        <v>-0.66249999999999998</v>
      </c>
    </row>
    <row r="142" spans="2:8">
      <c r="B142" s="20">
        <v>29</v>
      </c>
      <c r="C142" s="34">
        <v>0.50219999999999998</v>
      </c>
      <c r="D142" s="34">
        <v>-0.39600000000000002</v>
      </c>
      <c r="F142" s="20">
        <v>29</v>
      </c>
      <c r="G142" s="34">
        <v>0.6754</v>
      </c>
      <c r="H142" s="34">
        <v>-0.6754</v>
      </c>
    </row>
    <row r="143" spans="2:8">
      <c r="B143" s="21">
        <v>30</v>
      </c>
      <c r="C143" s="35">
        <v>0.50570000000000004</v>
      </c>
      <c r="D143" s="35">
        <v>-0.39789999999999998</v>
      </c>
      <c r="F143" s="21">
        <v>30</v>
      </c>
      <c r="G143" s="35">
        <v>0.68020000000000003</v>
      </c>
      <c r="H143" s="35">
        <v>-0.68020000000000003</v>
      </c>
    </row>
    <row r="146" spans="1:112">
      <c r="A146" s="27" t="s">
        <v>142</v>
      </c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</row>
    <row r="148" spans="1:112">
      <c r="B148" s="14" t="s">
        <v>148</v>
      </c>
    </row>
    <row r="150" spans="1:112">
      <c r="C150" s="1" t="s">
        <v>143</v>
      </c>
      <c r="D150" s="1" t="s">
        <v>144</v>
      </c>
      <c r="E150" s="1" t="s">
        <v>145</v>
      </c>
      <c r="F150" s="1" t="s">
        <v>146</v>
      </c>
      <c r="G150" s="1" t="s">
        <v>147</v>
      </c>
      <c r="I150" s="1" t="s">
        <v>149</v>
      </c>
      <c r="J150" s="1" t="s">
        <v>150</v>
      </c>
    </row>
    <row r="151" spans="1:112">
      <c r="B151" s="36" t="s">
        <v>143</v>
      </c>
      <c r="C151" s="3">
        <v>1</v>
      </c>
      <c r="D151" s="3"/>
      <c r="E151" s="3"/>
      <c r="F151" s="3"/>
      <c r="G151" s="3"/>
      <c r="I151" s="3" t="s">
        <v>143</v>
      </c>
      <c r="J151" s="3">
        <v>1.3721000000000001</v>
      </c>
    </row>
    <row r="152" spans="1:112">
      <c r="B152" s="36" t="s">
        <v>144</v>
      </c>
      <c r="C152" s="4">
        <v>0.97</v>
      </c>
      <c r="D152" s="4">
        <v>1</v>
      </c>
      <c r="E152" s="4"/>
      <c r="F152" s="4"/>
      <c r="G152" s="4"/>
      <c r="I152" s="4" t="s">
        <v>144</v>
      </c>
      <c r="J152" s="4">
        <v>0.90390000000000004</v>
      </c>
    </row>
    <row r="153" spans="1:112">
      <c r="B153" s="36" t="s">
        <v>145</v>
      </c>
      <c r="C153" s="4">
        <v>1</v>
      </c>
      <c r="D153" s="4">
        <v>0.86</v>
      </c>
      <c r="E153" s="4">
        <v>1</v>
      </c>
      <c r="F153" s="4"/>
      <c r="G153" s="4"/>
      <c r="I153" s="4" t="s">
        <v>145</v>
      </c>
      <c r="J153" s="4">
        <v>0.43390000000000001</v>
      </c>
    </row>
    <row r="154" spans="1:112">
      <c r="B154" s="36" t="s">
        <v>146</v>
      </c>
      <c r="C154" s="4">
        <v>0.75</v>
      </c>
      <c r="D154" s="4">
        <v>0.67</v>
      </c>
      <c r="E154" s="4">
        <v>0.84</v>
      </c>
      <c r="F154" s="4">
        <v>1</v>
      </c>
      <c r="G154" s="4"/>
      <c r="I154" s="4" t="s">
        <v>146</v>
      </c>
      <c r="J154" s="4">
        <v>0.93789999999999996</v>
      </c>
    </row>
    <row r="155" spans="1:112">
      <c r="B155" s="36" t="s">
        <v>147</v>
      </c>
      <c r="C155" s="7">
        <v>1</v>
      </c>
      <c r="D155" s="7">
        <v>0.97</v>
      </c>
      <c r="E155" s="7">
        <v>1</v>
      </c>
      <c r="F155" s="7">
        <v>0.75</v>
      </c>
      <c r="G155" s="7">
        <v>1</v>
      </c>
      <c r="I155" s="7" t="s">
        <v>147</v>
      </c>
      <c r="J155" s="7">
        <v>0.79849999999999999</v>
      </c>
    </row>
    <row r="158" spans="1:112">
      <c r="B158" s="14" t="s">
        <v>151</v>
      </c>
      <c r="W158" s="14" t="s">
        <v>171</v>
      </c>
      <c r="AR158" s="14" t="s">
        <v>145</v>
      </c>
      <c r="BM158" s="14" t="s">
        <v>172</v>
      </c>
      <c r="CH158" s="14" t="s">
        <v>147</v>
      </c>
      <c r="DC158" s="14" t="s">
        <v>173</v>
      </c>
    </row>
    <row r="159" spans="1:112">
      <c r="B159" s="14"/>
    </row>
    <row r="160" spans="1:112">
      <c r="C160" s="1" t="s">
        <v>152</v>
      </c>
      <c r="D160" s="1" t="s">
        <v>153</v>
      </c>
      <c r="E160" s="1" t="s">
        <v>154</v>
      </c>
      <c r="F160" s="1" t="s">
        <v>155</v>
      </c>
      <c r="G160" s="1" t="s">
        <v>156</v>
      </c>
      <c r="H160" s="1" t="s">
        <v>157</v>
      </c>
      <c r="I160" s="1" t="s">
        <v>158</v>
      </c>
      <c r="J160" s="1" t="s">
        <v>159</v>
      </c>
      <c r="K160" s="1" t="s">
        <v>160</v>
      </c>
      <c r="L160" s="1" t="s">
        <v>161</v>
      </c>
      <c r="M160" s="1" t="s">
        <v>162</v>
      </c>
      <c r="N160" s="1" t="s">
        <v>163</v>
      </c>
      <c r="O160" s="1" t="s">
        <v>164</v>
      </c>
      <c r="P160" s="1" t="s">
        <v>165</v>
      </c>
      <c r="Q160" s="1" t="s">
        <v>166</v>
      </c>
      <c r="R160" s="1" t="s">
        <v>167</v>
      </c>
      <c r="S160" s="1" t="s">
        <v>168</v>
      </c>
      <c r="T160" s="1" t="s">
        <v>169</v>
      </c>
      <c r="U160" s="1" t="s">
        <v>170</v>
      </c>
      <c r="X160" s="1" t="s">
        <v>152</v>
      </c>
      <c r="Y160" s="1" t="s">
        <v>153</v>
      </c>
      <c r="Z160" s="1" t="s">
        <v>154</v>
      </c>
      <c r="AA160" s="1" t="s">
        <v>155</v>
      </c>
      <c r="AB160" s="1" t="s">
        <v>156</v>
      </c>
      <c r="AC160" s="1" t="s">
        <v>157</v>
      </c>
      <c r="AD160" s="1" t="s">
        <v>158</v>
      </c>
      <c r="AE160" s="1" t="s">
        <v>159</v>
      </c>
      <c r="AF160" s="1" t="s">
        <v>160</v>
      </c>
      <c r="AG160" s="1" t="s">
        <v>161</v>
      </c>
      <c r="AH160" s="1" t="s">
        <v>162</v>
      </c>
      <c r="AI160" s="1" t="s">
        <v>163</v>
      </c>
      <c r="AJ160" s="1" t="s">
        <v>164</v>
      </c>
      <c r="AK160" s="1" t="s">
        <v>165</v>
      </c>
      <c r="AL160" s="1" t="s">
        <v>166</v>
      </c>
      <c r="AM160" s="1" t="s">
        <v>167</v>
      </c>
      <c r="AN160" s="1" t="s">
        <v>168</v>
      </c>
      <c r="AO160" s="1" t="s">
        <v>169</v>
      </c>
      <c r="AP160" s="1" t="s">
        <v>170</v>
      </c>
      <c r="AS160" s="1" t="s">
        <v>152</v>
      </c>
      <c r="AT160" s="1" t="s">
        <v>153</v>
      </c>
      <c r="AU160" s="1" t="s">
        <v>154</v>
      </c>
      <c r="AV160" s="1" t="s">
        <v>155</v>
      </c>
      <c r="AW160" s="1" t="s">
        <v>156</v>
      </c>
      <c r="AX160" s="1" t="s">
        <v>157</v>
      </c>
      <c r="AY160" s="1" t="s">
        <v>158</v>
      </c>
      <c r="AZ160" s="1" t="s">
        <v>159</v>
      </c>
      <c r="BA160" s="1" t="s">
        <v>160</v>
      </c>
      <c r="BB160" s="1" t="s">
        <v>161</v>
      </c>
      <c r="BC160" s="1" t="s">
        <v>162</v>
      </c>
      <c r="BD160" s="1" t="s">
        <v>163</v>
      </c>
      <c r="BE160" s="1" t="s">
        <v>164</v>
      </c>
      <c r="BF160" s="1" t="s">
        <v>165</v>
      </c>
      <c r="BG160" s="1" t="s">
        <v>166</v>
      </c>
      <c r="BH160" s="1" t="s">
        <v>167</v>
      </c>
      <c r="BI160" s="1" t="s">
        <v>168</v>
      </c>
      <c r="BJ160" s="1" t="s">
        <v>169</v>
      </c>
      <c r="BK160" s="1" t="s">
        <v>170</v>
      </c>
      <c r="BN160" s="1" t="s">
        <v>152</v>
      </c>
      <c r="BO160" s="1" t="s">
        <v>153</v>
      </c>
      <c r="BP160" s="1" t="s">
        <v>154</v>
      </c>
      <c r="BQ160" s="1" t="s">
        <v>155</v>
      </c>
      <c r="BR160" s="1" t="s">
        <v>156</v>
      </c>
      <c r="BS160" s="1" t="s">
        <v>157</v>
      </c>
      <c r="BT160" s="1" t="s">
        <v>158</v>
      </c>
      <c r="BU160" s="1" t="s">
        <v>159</v>
      </c>
      <c r="BV160" s="1" t="s">
        <v>160</v>
      </c>
      <c r="BW160" s="1" t="s">
        <v>161</v>
      </c>
      <c r="BX160" s="1" t="s">
        <v>162</v>
      </c>
      <c r="BY160" s="1" t="s">
        <v>163</v>
      </c>
      <c r="BZ160" s="1" t="s">
        <v>164</v>
      </c>
      <c r="CA160" s="1" t="s">
        <v>165</v>
      </c>
      <c r="CB160" s="1" t="s">
        <v>166</v>
      </c>
      <c r="CC160" s="1" t="s">
        <v>167</v>
      </c>
      <c r="CD160" s="1" t="s">
        <v>168</v>
      </c>
      <c r="CE160" s="1" t="s">
        <v>169</v>
      </c>
      <c r="CF160" s="1" t="s">
        <v>170</v>
      </c>
      <c r="CI160" s="1" t="s">
        <v>152</v>
      </c>
      <c r="CJ160" s="1" t="s">
        <v>153</v>
      </c>
      <c r="CK160" s="1" t="s">
        <v>154</v>
      </c>
      <c r="CL160" s="1" t="s">
        <v>155</v>
      </c>
      <c r="CM160" s="1" t="s">
        <v>156</v>
      </c>
      <c r="CN160" s="1" t="s">
        <v>157</v>
      </c>
      <c r="CO160" s="1" t="s">
        <v>158</v>
      </c>
      <c r="CP160" s="1" t="s">
        <v>159</v>
      </c>
      <c r="CQ160" s="1" t="s">
        <v>160</v>
      </c>
      <c r="CR160" s="1" t="s">
        <v>161</v>
      </c>
      <c r="CS160" s="1" t="s">
        <v>162</v>
      </c>
      <c r="CT160" s="1" t="s">
        <v>163</v>
      </c>
      <c r="CU160" s="1" t="s">
        <v>164</v>
      </c>
      <c r="CV160" s="1" t="s">
        <v>165</v>
      </c>
      <c r="CW160" s="1" t="s">
        <v>166</v>
      </c>
      <c r="CX160" s="1" t="s">
        <v>167</v>
      </c>
      <c r="CY160" s="1" t="s">
        <v>168</v>
      </c>
      <c r="CZ160" s="1" t="s">
        <v>169</v>
      </c>
      <c r="DA160" s="1" t="s">
        <v>170</v>
      </c>
      <c r="DC160" s="1" t="s">
        <v>174</v>
      </c>
      <c r="DD160" s="1" t="s">
        <v>143</v>
      </c>
      <c r="DE160" s="1" t="s">
        <v>144</v>
      </c>
      <c r="DF160" s="1" t="s">
        <v>145</v>
      </c>
      <c r="DG160" s="1" t="s">
        <v>146</v>
      </c>
      <c r="DH160" s="1" t="s">
        <v>147</v>
      </c>
    </row>
    <row r="161" spans="2:112">
      <c r="B161" s="2" t="s">
        <v>152</v>
      </c>
      <c r="C161" s="19">
        <v>1</v>
      </c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W161" s="2" t="s">
        <v>152</v>
      </c>
      <c r="X161" s="19">
        <v>1</v>
      </c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R161" s="2" t="s">
        <v>152</v>
      </c>
      <c r="AS161" s="19">
        <v>1</v>
      </c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19"/>
      <c r="BI161" s="19"/>
      <c r="BJ161" s="19"/>
      <c r="BK161" s="19"/>
      <c r="BM161" s="2" t="s">
        <v>152</v>
      </c>
      <c r="BN161" s="19">
        <v>1</v>
      </c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  <c r="BZ161" s="19"/>
      <c r="CA161" s="19"/>
      <c r="CB161" s="19"/>
      <c r="CC161" s="19"/>
      <c r="CD161" s="19"/>
      <c r="CE161" s="19"/>
      <c r="CF161" s="19"/>
      <c r="CH161" s="2" t="s">
        <v>152</v>
      </c>
      <c r="CI161" s="19">
        <v>1</v>
      </c>
      <c r="CJ161" s="19"/>
      <c r="CK161" s="19"/>
      <c r="CL161" s="19"/>
      <c r="CM161" s="19"/>
      <c r="CN161" s="19"/>
      <c r="CO161" s="19"/>
      <c r="CP161" s="19"/>
      <c r="CQ161" s="19"/>
      <c r="CR161" s="19"/>
      <c r="CS161" s="19"/>
      <c r="CT161" s="19"/>
      <c r="CU161" s="19"/>
      <c r="CV161" s="19"/>
      <c r="CW161" s="19"/>
      <c r="CX161" s="19"/>
      <c r="CY161" s="19"/>
      <c r="CZ161" s="19"/>
      <c r="DA161" s="19"/>
      <c r="DC161" s="3" t="s">
        <v>152</v>
      </c>
      <c r="DD161" s="3">
        <v>2.2915999999999999</v>
      </c>
      <c r="DE161" s="3">
        <v>2.8778000000000001</v>
      </c>
      <c r="DF161" s="3">
        <v>2.5337999999999998</v>
      </c>
      <c r="DG161" s="3">
        <v>3.8734000000000002</v>
      </c>
      <c r="DH161" s="3">
        <v>2.4298999999999999</v>
      </c>
    </row>
    <row r="162" spans="2:112">
      <c r="B162" s="2" t="s">
        <v>153</v>
      </c>
      <c r="C162" s="20">
        <v>0</v>
      </c>
      <c r="D162" s="20">
        <v>1</v>
      </c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W162" s="2" t="s">
        <v>153</v>
      </c>
      <c r="X162" s="20">
        <v>0.09</v>
      </c>
      <c r="Y162" s="20">
        <v>1</v>
      </c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R162" s="2" t="s">
        <v>153</v>
      </c>
      <c r="AS162" s="20">
        <v>0.18</v>
      </c>
      <c r="AT162" s="20">
        <v>1</v>
      </c>
      <c r="AU162" s="20"/>
      <c r="AV162" s="20"/>
      <c r="AW162" s="20"/>
      <c r="AX162" s="20"/>
      <c r="AY162" s="20"/>
      <c r="AZ162" s="20"/>
      <c r="BA162" s="20"/>
      <c r="BB162" s="20"/>
      <c r="BC162" s="20"/>
      <c r="BD162" s="20"/>
      <c r="BE162" s="20"/>
      <c r="BF162" s="20"/>
      <c r="BG162" s="20"/>
      <c r="BH162" s="20"/>
      <c r="BI162" s="20"/>
      <c r="BJ162" s="20"/>
      <c r="BK162" s="20"/>
      <c r="BM162" s="2" t="s">
        <v>153</v>
      </c>
      <c r="BN162" s="20">
        <v>0.02</v>
      </c>
      <c r="BO162" s="20">
        <v>1</v>
      </c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H162" s="2" t="s">
        <v>153</v>
      </c>
      <c r="CI162" s="20">
        <v>0</v>
      </c>
      <c r="CJ162" s="20">
        <v>1</v>
      </c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C162" s="4" t="s">
        <v>153</v>
      </c>
      <c r="DD162" s="4">
        <v>2.0000000000000001E-4</v>
      </c>
      <c r="DE162" s="4">
        <v>4.0000000000000002E-4</v>
      </c>
      <c r="DF162" s="4">
        <v>2.0000000000000001E-4</v>
      </c>
      <c r="DG162" s="4">
        <v>1.6000000000000001E-3</v>
      </c>
      <c r="DH162" s="4">
        <v>2.9999999999999997E-4</v>
      </c>
    </row>
    <row r="163" spans="2:112">
      <c r="B163" s="2" t="s">
        <v>154</v>
      </c>
      <c r="C163" s="20">
        <v>0.3</v>
      </c>
      <c r="D163" s="20">
        <v>0.3</v>
      </c>
      <c r="E163" s="20">
        <v>1</v>
      </c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W163" s="2" t="s">
        <v>154</v>
      </c>
      <c r="X163" s="20">
        <v>0.04</v>
      </c>
      <c r="Y163" s="20">
        <v>0.51</v>
      </c>
      <c r="Z163" s="20">
        <v>1</v>
      </c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R163" s="2" t="s">
        <v>154</v>
      </c>
      <c r="AS163" s="20">
        <v>0</v>
      </c>
      <c r="AT163" s="20">
        <v>0.35</v>
      </c>
      <c r="AU163" s="20">
        <v>1</v>
      </c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M163" s="2" t="s">
        <v>154</v>
      </c>
      <c r="BN163" s="20">
        <v>0</v>
      </c>
      <c r="BO163" s="20">
        <v>0.47</v>
      </c>
      <c r="BP163" s="20">
        <v>1</v>
      </c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H163" s="2" t="s">
        <v>154</v>
      </c>
      <c r="CI163" s="20">
        <v>0.3</v>
      </c>
      <c r="CJ163" s="20">
        <v>0.3</v>
      </c>
      <c r="CK163" s="20">
        <v>1</v>
      </c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C163" s="4" t="s">
        <v>154</v>
      </c>
      <c r="DD163" s="4">
        <v>2.63E-2</v>
      </c>
      <c r="DE163" s="4">
        <v>3.4000000000000002E-2</v>
      </c>
      <c r="DF163" s="4">
        <v>3.2199999999999999E-2</v>
      </c>
      <c r="DG163" s="4">
        <v>1.04E-2</v>
      </c>
      <c r="DH163" s="4">
        <v>2.7900000000000001E-2</v>
      </c>
    </row>
    <row r="164" spans="2:112">
      <c r="B164" s="2" t="s">
        <v>155</v>
      </c>
      <c r="C164" s="20">
        <v>0.46</v>
      </c>
      <c r="D164" s="20">
        <v>0.48</v>
      </c>
      <c r="E164" s="20">
        <v>0.42</v>
      </c>
      <c r="F164" s="20">
        <v>1</v>
      </c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W164" s="2" t="s">
        <v>155</v>
      </c>
      <c r="X164" s="20">
        <v>0.35</v>
      </c>
      <c r="Y164" s="20">
        <v>0.67</v>
      </c>
      <c r="Z164" s="20">
        <v>0.25</v>
      </c>
      <c r="AA164" s="20">
        <v>1</v>
      </c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R164" s="2" t="s">
        <v>155</v>
      </c>
      <c r="AS164" s="20">
        <v>0.41</v>
      </c>
      <c r="AT164" s="20">
        <v>0.41</v>
      </c>
      <c r="AU164" s="20">
        <v>0.09</v>
      </c>
      <c r="AV164" s="20">
        <v>1</v>
      </c>
      <c r="AW164" s="20"/>
      <c r="AX164" s="20"/>
      <c r="AY164" s="20"/>
      <c r="AZ164" s="20"/>
      <c r="BA164" s="20"/>
      <c r="BB164" s="20"/>
      <c r="BC164" s="20"/>
      <c r="BD164" s="20"/>
      <c r="BE164" s="20"/>
      <c r="BF164" s="20"/>
      <c r="BG164" s="20"/>
      <c r="BH164" s="20"/>
      <c r="BI164" s="20"/>
      <c r="BJ164" s="20"/>
      <c r="BK164" s="20"/>
      <c r="BM164" s="2" t="s">
        <v>155</v>
      </c>
      <c r="BN164" s="20">
        <v>0.32</v>
      </c>
      <c r="BO164" s="20">
        <v>0.4</v>
      </c>
      <c r="BP164" s="20">
        <v>0.94</v>
      </c>
      <c r="BQ164" s="20">
        <v>1</v>
      </c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H164" s="2" t="s">
        <v>155</v>
      </c>
      <c r="CI164" s="20">
        <v>0.46</v>
      </c>
      <c r="CJ164" s="20">
        <v>0.48</v>
      </c>
      <c r="CK164" s="20">
        <v>0.42</v>
      </c>
      <c r="CL164" s="20">
        <v>1</v>
      </c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C164" s="4" t="s">
        <v>155</v>
      </c>
      <c r="DD164" s="4">
        <v>0.29830000000000001</v>
      </c>
      <c r="DE164" s="4">
        <v>0.41689999999999999</v>
      </c>
      <c r="DF164" s="4">
        <v>0.32519999999999999</v>
      </c>
      <c r="DG164" s="4">
        <v>9.8100000000000007E-2</v>
      </c>
      <c r="DH164" s="4">
        <v>0.31630000000000003</v>
      </c>
    </row>
    <row r="165" spans="2:112">
      <c r="B165" s="2" t="s">
        <v>156</v>
      </c>
      <c r="C165" s="20">
        <v>0.72</v>
      </c>
      <c r="D165" s="20">
        <v>0</v>
      </c>
      <c r="E165" s="20">
        <v>0</v>
      </c>
      <c r="F165" s="20">
        <v>0.17</v>
      </c>
      <c r="G165" s="20">
        <v>1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W165" s="2" t="s">
        <v>156</v>
      </c>
      <c r="X165" s="20">
        <v>0.48</v>
      </c>
      <c r="Y165" s="20">
        <v>0.43</v>
      </c>
      <c r="Z165" s="20">
        <v>0.19</v>
      </c>
      <c r="AA165" s="20">
        <v>0.09</v>
      </c>
      <c r="AB165" s="20">
        <v>1</v>
      </c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R165" s="2" t="s">
        <v>156</v>
      </c>
      <c r="AS165" s="20">
        <v>0.64</v>
      </c>
      <c r="AT165" s="20">
        <v>0.01</v>
      </c>
      <c r="AU165" s="20">
        <v>0</v>
      </c>
      <c r="AV165" s="20">
        <v>7.0000000000000007E-2</v>
      </c>
      <c r="AW165" s="20">
        <v>1</v>
      </c>
      <c r="AX165" s="20"/>
      <c r="AY165" s="20"/>
      <c r="AZ165" s="20"/>
      <c r="BA165" s="20"/>
      <c r="BB165" s="20"/>
      <c r="BC165" s="20"/>
      <c r="BD165" s="20"/>
      <c r="BE165" s="20"/>
      <c r="BF165" s="20"/>
      <c r="BG165" s="20"/>
      <c r="BH165" s="20"/>
      <c r="BI165" s="20"/>
      <c r="BJ165" s="20"/>
      <c r="BK165" s="20"/>
      <c r="BM165" s="2" t="s">
        <v>156</v>
      </c>
      <c r="BN165" s="20">
        <v>0.67</v>
      </c>
      <c r="BO165" s="20">
        <v>0</v>
      </c>
      <c r="BP165" s="20">
        <v>0</v>
      </c>
      <c r="BQ165" s="20">
        <v>0</v>
      </c>
      <c r="BR165" s="20">
        <v>1</v>
      </c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H165" s="2" t="s">
        <v>156</v>
      </c>
      <c r="CI165" s="20">
        <v>0.72</v>
      </c>
      <c r="CJ165" s="20">
        <v>0</v>
      </c>
      <c r="CK165" s="20">
        <v>0</v>
      </c>
      <c r="CL165" s="20">
        <v>0.17</v>
      </c>
      <c r="CM165" s="20">
        <v>1</v>
      </c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C165" s="4" t="s">
        <v>156</v>
      </c>
      <c r="DD165" s="4">
        <v>1.9635</v>
      </c>
      <c r="DE165" s="4">
        <v>2.4051</v>
      </c>
      <c r="DF165" s="4">
        <v>2.1884999999999999</v>
      </c>
      <c r="DG165" s="4">
        <v>3.4333</v>
      </c>
      <c r="DH165" s="4">
        <v>2.0819999999999999</v>
      </c>
    </row>
    <row r="166" spans="2:112">
      <c r="B166" s="2" t="s">
        <v>157</v>
      </c>
      <c r="C166" s="20">
        <v>1</v>
      </c>
      <c r="D166" s="20">
        <v>0</v>
      </c>
      <c r="E166" s="20">
        <v>0</v>
      </c>
      <c r="F166" s="20">
        <v>0.21</v>
      </c>
      <c r="G166" s="20">
        <v>0.91</v>
      </c>
      <c r="H166" s="20">
        <v>1</v>
      </c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W166" s="2" t="s">
        <v>157</v>
      </c>
      <c r="X166" s="20">
        <v>0.8</v>
      </c>
      <c r="Y166" s="20">
        <v>0</v>
      </c>
      <c r="Z166" s="20">
        <v>0</v>
      </c>
      <c r="AA166" s="20">
        <v>0.25</v>
      </c>
      <c r="AB166" s="20">
        <v>0.98</v>
      </c>
      <c r="AC166" s="20">
        <v>1</v>
      </c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R166" s="2" t="s">
        <v>157</v>
      </c>
      <c r="AS166" s="20">
        <v>1</v>
      </c>
      <c r="AT166" s="20">
        <v>0</v>
      </c>
      <c r="AU166" s="20">
        <v>0</v>
      </c>
      <c r="AV166" s="20">
        <v>0.19</v>
      </c>
      <c r="AW166" s="20">
        <v>0.93</v>
      </c>
      <c r="AX166" s="20">
        <v>1</v>
      </c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M166" s="2" t="s">
        <v>157</v>
      </c>
      <c r="BN166" s="20">
        <v>0.65</v>
      </c>
      <c r="BO166" s="20">
        <v>0</v>
      </c>
      <c r="BP166" s="20">
        <v>0</v>
      </c>
      <c r="BQ166" s="20">
        <v>0</v>
      </c>
      <c r="BR166" s="20">
        <v>0.74</v>
      </c>
      <c r="BS166" s="20">
        <v>1</v>
      </c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H166" s="2" t="s">
        <v>157</v>
      </c>
      <c r="CI166" s="20">
        <v>1</v>
      </c>
      <c r="CJ166" s="20">
        <v>0</v>
      </c>
      <c r="CK166" s="20">
        <v>0</v>
      </c>
      <c r="CL166" s="20">
        <v>0.21</v>
      </c>
      <c r="CM166" s="20">
        <v>0.91</v>
      </c>
      <c r="CN166" s="20">
        <v>1</v>
      </c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C166" s="4" t="s">
        <v>157</v>
      </c>
      <c r="DD166" s="4">
        <v>2.1753999999999998</v>
      </c>
      <c r="DE166" s="4">
        <v>2.6419000000000001</v>
      </c>
      <c r="DF166" s="4">
        <v>2.4415</v>
      </c>
      <c r="DG166" s="4">
        <v>3.0686</v>
      </c>
      <c r="DH166" s="4">
        <v>2.3067000000000002</v>
      </c>
    </row>
    <row r="167" spans="2:112">
      <c r="B167" s="2" t="s">
        <v>158</v>
      </c>
      <c r="C167" s="20">
        <v>0.69</v>
      </c>
      <c r="D167" s="20">
        <v>0</v>
      </c>
      <c r="E167" s="20">
        <v>0</v>
      </c>
      <c r="F167" s="20">
        <v>0.04</v>
      </c>
      <c r="G167" s="20">
        <v>0.84</v>
      </c>
      <c r="H167" s="20">
        <v>0.88</v>
      </c>
      <c r="I167" s="20">
        <v>1</v>
      </c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W167" s="2" t="s">
        <v>158</v>
      </c>
      <c r="X167" s="20">
        <v>0.52</v>
      </c>
      <c r="Y167" s="20">
        <v>0.08</v>
      </c>
      <c r="Z167" s="20">
        <v>7.0000000000000007E-2</v>
      </c>
      <c r="AA167" s="20">
        <v>0.1</v>
      </c>
      <c r="AB167" s="20">
        <v>0.76</v>
      </c>
      <c r="AC167" s="20">
        <v>0.89</v>
      </c>
      <c r="AD167" s="20">
        <v>1</v>
      </c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R167" s="2" t="s">
        <v>158</v>
      </c>
      <c r="AS167" s="20">
        <v>0.66</v>
      </c>
      <c r="AT167" s="20">
        <v>0</v>
      </c>
      <c r="AU167" s="20">
        <v>0</v>
      </c>
      <c r="AV167" s="20">
        <v>0.02</v>
      </c>
      <c r="AW167" s="20">
        <v>0.77</v>
      </c>
      <c r="AX167" s="20">
        <v>0.89</v>
      </c>
      <c r="AY167" s="20">
        <v>1</v>
      </c>
      <c r="AZ167" s="20"/>
      <c r="BA167" s="20"/>
      <c r="BB167" s="20"/>
      <c r="BC167" s="20"/>
      <c r="BD167" s="20"/>
      <c r="BE167" s="20"/>
      <c r="BF167" s="20"/>
      <c r="BG167" s="20"/>
      <c r="BH167" s="20"/>
      <c r="BI167" s="20"/>
      <c r="BJ167" s="20"/>
      <c r="BK167" s="20"/>
      <c r="BM167" s="2" t="s">
        <v>158</v>
      </c>
      <c r="BN167" s="20">
        <v>0.7</v>
      </c>
      <c r="BO167" s="20">
        <v>0</v>
      </c>
      <c r="BP167" s="20">
        <v>0</v>
      </c>
      <c r="BQ167" s="20">
        <v>0.02</v>
      </c>
      <c r="BR167" s="20">
        <v>0.77</v>
      </c>
      <c r="BS167" s="20">
        <v>0.71</v>
      </c>
      <c r="BT167" s="20">
        <v>1</v>
      </c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H167" s="2" t="s">
        <v>158</v>
      </c>
      <c r="CI167" s="20">
        <v>0.69</v>
      </c>
      <c r="CJ167" s="20">
        <v>0</v>
      </c>
      <c r="CK167" s="20">
        <v>0</v>
      </c>
      <c r="CL167" s="20">
        <v>0.04</v>
      </c>
      <c r="CM167" s="20">
        <v>0.84</v>
      </c>
      <c r="CN167" s="20">
        <v>0.88</v>
      </c>
      <c r="CO167" s="20">
        <v>1</v>
      </c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C167" s="4" t="s">
        <v>158</v>
      </c>
      <c r="DD167" s="4">
        <v>2.0789</v>
      </c>
      <c r="DE167" s="4">
        <v>2.5487000000000002</v>
      </c>
      <c r="DF167" s="4">
        <v>2.3123999999999998</v>
      </c>
      <c r="DG167" s="4">
        <v>3.5853999999999999</v>
      </c>
      <c r="DH167" s="4">
        <v>2.2042999999999999</v>
      </c>
    </row>
    <row r="168" spans="2:112">
      <c r="B168" s="2" t="s">
        <v>159</v>
      </c>
      <c r="C168" s="20">
        <v>0</v>
      </c>
      <c r="D168" s="20">
        <v>0</v>
      </c>
      <c r="E168" s="20">
        <v>0</v>
      </c>
      <c r="F168" s="20">
        <v>0</v>
      </c>
      <c r="G168" s="20">
        <v>0.28999999999999998</v>
      </c>
      <c r="H168" s="20">
        <v>0.14000000000000001</v>
      </c>
      <c r="I168" s="20">
        <v>0.08</v>
      </c>
      <c r="J168" s="20">
        <v>1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W168" s="2" t="s">
        <v>159</v>
      </c>
      <c r="X168" s="20">
        <v>0.17</v>
      </c>
      <c r="Y168" s="20">
        <v>0.18</v>
      </c>
      <c r="Z168" s="20">
        <v>0.06</v>
      </c>
      <c r="AA168" s="20">
        <v>0</v>
      </c>
      <c r="AB168" s="20">
        <v>0.28999999999999998</v>
      </c>
      <c r="AC168" s="20">
        <v>0.22</v>
      </c>
      <c r="AD168" s="20">
        <v>0.13</v>
      </c>
      <c r="AE168" s="20">
        <v>1</v>
      </c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R168" s="2" t="s">
        <v>159</v>
      </c>
      <c r="AS168" s="20">
        <v>0.06</v>
      </c>
      <c r="AT168" s="20">
        <v>0</v>
      </c>
      <c r="AU168" s="20">
        <v>0</v>
      </c>
      <c r="AV168" s="20">
        <v>0</v>
      </c>
      <c r="AW168" s="20">
        <v>0.25</v>
      </c>
      <c r="AX168" s="20">
        <v>0.24</v>
      </c>
      <c r="AY168" s="20">
        <v>0.08</v>
      </c>
      <c r="AZ168" s="20">
        <v>1</v>
      </c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M168" s="2" t="s">
        <v>159</v>
      </c>
      <c r="BN168" s="20">
        <v>0</v>
      </c>
      <c r="BO168" s="20">
        <v>0</v>
      </c>
      <c r="BP168" s="20">
        <v>0.19</v>
      </c>
      <c r="BQ168" s="20">
        <v>0.14000000000000001</v>
      </c>
      <c r="BR168" s="20">
        <v>0</v>
      </c>
      <c r="BS168" s="20">
        <v>0</v>
      </c>
      <c r="BT168" s="20">
        <v>0</v>
      </c>
      <c r="BU168" s="20">
        <v>1</v>
      </c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H168" s="2" t="s">
        <v>159</v>
      </c>
      <c r="CI168" s="20">
        <v>0</v>
      </c>
      <c r="CJ168" s="20">
        <v>0</v>
      </c>
      <c r="CK168" s="20">
        <v>0</v>
      </c>
      <c r="CL168" s="20">
        <v>0</v>
      </c>
      <c r="CM168" s="20">
        <v>0.28999999999999998</v>
      </c>
      <c r="CN168" s="20">
        <v>0.14000000000000001</v>
      </c>
      <c r="CO168" s="20">
        <v>0.08</v>
      </c>
      <c r="CP168" s="20">
        <v>1</v>
      </c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C168" s="4" t="s">
        <v>159</v>
      </c>
      <c r="DD168" s="4">
        <v>1.5654999999999999</v>
      </c>
      <c r="DE168" s="4">
        <v>1.9119999999999999</v>
      </c>
      <c r="DF168" s="4">
        <v>1.7282999999999999</v>
      </c>
      <c r="DG168" s="4">
        <v>1.9347000000000001</v>
      </c>
      <c r="DH168" s="4">
        <v>1.66</v>
      </c>
    </row>
    <row r="169" spans="2:112">
      <c r="B169" s="2" t="s">
        <v>160</v>
      </c>
      <c r="C169" s="20">
        <v>1</v>
      </c>
      <c r="D169" s="20">
        <v>1</v>
      </c>
      <c r="E169" s="20">
        <v>1</v>
      </c>
      <c r="F169" s="20">
        <v>1</v>
      </c>
      <c r="G169" s="20">
        <v>1</v>
      </c>
      <c r="H169" s="20">
        <v>1</v>
      </c>
      <c r="I169" s="20">
        <v>1</v>
      </c>
      <c r="J169" s="20">
        <v>1</v>
      </c>
      <c r="K169" s="20">
        <v>1</v>
      </c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W169" s="2" t="s">
        <v>160</v>
      </c>
      <c r="X169" s="20">
        <v>1</v>
      </c>
      <c r="Y169" s="20">
        <v>1</v>
      </c>
      <c r="Z169" s="20">
        <v>1</v>
      </c>
      <c r="AA169" s="20">
        <v>1</v>
      </c>
      <c r="AB169" s="20">
        <v>1</v>
      </c>
      <c r="AC169" s="20">
        <v>1</v>
      </c>
      <c r="AD169" s="20">
        <v>1</v>
      </c>
      <c r="AE169" s="20">
        <v>1</v>
      </c>
      <c r="AF169" s="20">
        <v>1</v>
      </c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R169" s="2" t="s">
        <v>160</v>
      </c>
      <c r="AS169" s="20">
        <v>1</v>
      </c>
      <c r="AT169" s="20">
        <v>1</v>
      </c>
      <c r="AU169" s="20">
        <v>1</v>
      </c>
      <c r="AV169" s="20">
        <v>1</v>
      </c>
      <c r="AW169" s="20">
        <v>1</v>
      </c>
      <c r="AX169" s="20">
        <v>0</v>
      </c>
      <c r="AY169" s="20">
        <v>1</v>
      </c>
      <c r="AZ169" s="20">
        <v>1</v>
      </c>
      <c r="BA169" s="20">
        <v>1</v>
      </c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M169" s="2" t="s">
        <v>160</v>
      </c>
      <c r="BN169" s="20">
        <v>0</v>
      </c>
      <c r="BO169" s="20">
        <v>1</v>
      </c>
      <c r="BP169" s="20">
        <v>1</v>
      </c>
      <c r="BQ169" s="20">
        <v>1</v>
      </c>
      <c r="BR169" s="20">
        <v>0</v>
      </c>
      <c r="BS169" s="20">
        <v>0</v>
      </c>
      <c r="BT169" s="20">
        <v>0</v>
      </c>
      <c r="BU169" s="20">
        <v>1</v>
      </c>
      <c r="BV169" s="20">
        <v>1</v>
      </c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H169" s="2" t="s">
        <v>160</v>
      </c>
      <c r="CI169" s="20">
        <v>1</v>
      </c>
      <c r="CJ169" s="20">
        <v>1</v>
      </c>
      <c r="CK169" s="20">
        <v>1</v>
      </c>
      <c r="CL169" s="20">
        <v>1</v>
      </c>
      <c r="CM169" s="20">
        <v>1</v>
      </c>
      <c r="CN169" s="20">
        <v>1</v>
      </c>
      <c r="CO169" s="20">
        <v>1</v>
      </c>
      <c r="CP169" s="20">
        <v>1</v>
      </c>
      <c r="CQ169" s="20">
        <v>1</v>
      </c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C169" s="4" t="s">
        <v>160</v>
      </c>
      <c r="DD169" s="4">
        <v>0</v>
      </c>
      <c r="DE169" s="4">
        <v>0</v>
      </c>
      <c r="DF169" s="4">
        <v>0</v>
      </c>
      <c r="DG169" s="4">
        <v>0</v>
      </c>
      <c r="DH169" s="4">
        <v>0</v>
      </c>
    </row>
    <row r="170" spans="2:112">
      <c r="B170" s="2" t="s">
        <v>161</v>
      </c>
      <c r="C170" s="20">
        <v>0</v>
      </c>
      <c r="D170" s="20">
        <v>0.19</v>
      </c>
      <c r="E170" s="20">
        <v>0.26</v>
      </c>
      <c r="F170" s="20">
        <v>0.05</v>
      </c>
      <c r="G170" s="20">
        <v>0</v>
      </c>
      <c r="H170" s="20">
        <v>0</v>
      </c>
      <c r="I170" s="20">
        <v>0</v>
      </c>
      <c r="J170" s="20">
        <v>0.66</v>
      </c>
      <c r="K170" s="20">
        <v>1</v>
      </c>
      <c r="L170" s="20">
        <v>1</v>
      </c>
      <c r="M170" s="20"/>
      <c r="N170" s="20"/>
      <c r="O170" s="20"/>
      <c r="P170" s="20"/>
      <c r="Q170" s="20"/>
      <c r="R170" s="20"/>
      <c r="S170" s="20"/>
      <c r="T170" s="20"/>
      <c r="U170" s="20"/>
      <c r="W170" s="2" t="s">
        <v>161</v>
      </c>
      <c r="X170" s="20">
        <v>0</v>
      </c>
      <c r="Y170" s="20">
        <v>0.42</v>
      </c>
      <c r="Z170" s="20">
        <v>0.18</v>
      </c>
      <c r="AA170" s="20">
        <v>0.05</v>
      </c>
      <c r="AB170" s="20">
        <v>0</v>
      </c>
      <c r="AC170" s="20">
        <v>0</v>
      </c>
      <c r="AD170" s="20">
        <v>0</v>
      </c>
      <c r="AE170" s="20">
        <v>0.71</v>
      </c>
      <c r="AF170" s="20">
        <v>1</v>
      </c>
      <c r="AG170" s="20">
        <v>1</v>
      </c>
      <c r="AH170" s="20"/>
      <c r="AI170" s="20"/>
      <c r="AJ170" s="20"/>
      <c r="AK170" s="20"/>
      <c r="AL170" s="20"/>
      <c r="AM170" s="20"/>
      <c r="AN170" s="20"/>
      <c r="AO170" s="20"/>
      <c r="AP170" s="20"/>
      <c r="AR170" s="2" t="s">
        <v>161</v>
      </c>
      <c r="AS170" s="20">
        <v>0</v>
      </c>
      <c r="AT170" s="20">
        <v>0.22</v>
      </c>
      <c r="AU170" s="20">
        <v>0.21</v>
      </c>
      <c r="AV170" s="20">
        <v>0.01</v>
      </c>
      <c r="AW170" s="20">
        <v>0</v>
      </c>
      <c r="AX170" s="20">
        <v>0</v>
      </c>
      <c r="AY170" s="20">
        <v>0</v>
      </c>
      <c r="AZ170" s="20">
        <v>0.59</v>
      </c>
      <c r="BA170" s="20">
        <v>1</v>
      </c>
      <c r="BB170" s="20">
        <v>1</v>
      </c>
      <c r="BC170" s="20"/>
      <c r="BD170" s="20"/>
      <c r="BE170" s="20"/>
      <c r="BF170" s="20"/>
      <c r="BG170" s="20"/>
      <c r="BH170" s="20"/>
      <c r="BI170" s="20"/>
      <c r="BJ170" s="20"/>
      <c r="BK170" s="20"/>
      <c r="BM170" s="2" t="s">
        <v>161</v>
      </c>
      <c r="BN170" s="20">
        <v>0</v>
      </c>
      <c r="BO170" s="20">
        <v>0</v>
      </c>
      <c r="BP170" s="20">
        <v>0</v>
      </c>
      <c r="BQ170" s="20">
        <v>0</v>
      </c>
      <c r="BR170" s="20">
        <v>0</v>
      </c>
      <c r="BS170" s="20">
        <v>0</v>
      </c>
      <c r="BT170" s="20">
        <v>0</v>
      </c>
      <c r="BU170" s="20">
        <v>0</v>
      </c>
      <c r="BV170" s="20">
        <v>0</v>
      </c>
      <c r="BW170" s="20">
        <v>1</v>
      </c>
      <c r="BX170" s="20"/>
      <c r="BY170" s="20"/>
      <c r="BZ170" s="20"/>
      <c r="CA170" s="20"/>
      <c r="CB170" s="20"/>
      <c r="CC170" s="20"/>
      <c r="CD170" s="20"/>
      <c r="CE170" s="20"/>
      <c r="CF170" s="20"/>
      <c r="CH170" s="2" t="s">
        <v>161</v>
      </c>
      <c r="CI170" s="20">
        <v>0</v>
      </c>
      <c r="CJ170" s="20">
        <v>0.19</v>
      </c>
      <c r="CK170" s="20">
        <v>0.26</v>
      </c>
      <c r="CL170" s="20">
        <v>0.05</v>
      </c>
      <c r="CM170" s="20">
        <v>0</v>
      </c>
      <c r="CN170" s="20">
        <v>0</v>
      </c>
      <c r="CO170" s="20">
        <v>0</v>
      </c>
      <c r="CP170" s="20">
        <v>0.66</v>
      </c>
      <c r="CQ170" s="20">
        <v>1</v>
      </c>
      <c r="CR170" s="20">
        <v>1</v>
      </c>
      <c r="CS170" s="20"/>
      <c r="CT170" s="20"/>
      <c r="CU170" s="20"/>
      <c r="CV170" s="20"/>
      <c r="CW170" s="20"/>
      <c r="CX170" s="20"/>
      <c r="CY170" s="20"/>
      <c r="CZ170" s="20"/>
      <c r="DA170" s="20"/>
      <c r="DC170" s="4" t="s">
        <v>161</v>
      </c>
      <c r="DD170" s="4">
        <v>0.23649999999999999</v>
      </c>
      <c r="DE170" s="4">
        <v>0.30220000000000002</v>
      </c>
      <c r="DF170" s="4">
        <v>0.25419999999999998</v>
      </c>
      <c r="DG170" s="4">
        <v>0</v>
      </c>
      <c r="DH170" s="4">
        <v>0.25080000000000002</v>
      </c>
    </row>
    <row r="171" spans="2:112">
      <c r="B171" s="2" t="s">
        <v>162</v>
      </c>
      <c r="C171" s="20">
        <v>0.22</v>
      </c>
      <c r="D171" s="20">
        <v>0.26</v>
      </c>
      <c r="E171" s="20">
        <v>0.5</v>
      </c>
      <c r="F171" s="20">
        <v>0.2</v>
      </c>
      <c r="G171" s="20">
        <v>0</v>
      </c>
      <c r="H171" s="20">
        <v>0</v>
      </c>
      <c r="I171" s="20">
        <v>0</v>
      </c>
      <c r="J171" s="20">
        <v>0.76</v>
      </c>
      <c r="K171" s="20">
        <v>1</v>
      </c>
      <c r="L171" s="20">
        <v>0.65</v>
      </c>
      <c r="M171" s="20">
        <v>1</v>
      </c>
      <c r="N171" s="20"/>
      <c r="O171" s="20"/>
      <c r="P171" s="20"/>
      <c r="Q171" s="20"/>
      <c r="R171" s="20"/>
      <c r="S171" s="20"/>
      <c r="T171" s="20"/>
      <c r="U171" s="20"/>
      <c r="W171" s="2" t="s">
        <v>162</v>
      </c>
      <c r="X171" s="20">
        <v>0</v>
      </c>
      <c r="Y171" s="20">
        <v>0.28999999999999998</v>
      </c>
      <c r="Z171" s="20">
        <v>0.26</v>
      </c>
      <c r="AA171" s="20">
        <v>0.01</v>
      </c>
      <c r="AB171" s="20">
        <v>0.16</v>
      </c>
      <c r="AC171" s="20">
        <v>0</v>
      </c>
      <c r="AD171" s="20">
        <v>0.05</v>
      </c>
      <c r="AE171" s="20">
        <v>0.68</v>
      </c>
      <c r="AF171" s="20">
        <v>1</v>
      </c>
      <c r="AG171" s="20">
        <v>0.57999999999999996</v>
      </c>
      <c r="AH171" s="20">
        <v>1</v>
      </c>
      <c r="AI171" s="20"/>
      <c r="AJ171" s="20"/>
      <c r="AK171" s="20"/>
      <c r="AL171" s="20"/>
      <c r="AM171" s="20"/>
      <c r="AN171" s="20"/>
      <c r="AO171" s="20"/>
      <c r="AP171" s="20"/>
      <c r="AR171" s="2" t="s">
        <v>162</v>
      </c>
      <c r="AS171" s="20">
        <v>0.19</v>
      </c>
      <c r="AT171" s="20">
        <v>0.28000000000000003</v>
      </c>
      <c r="AU171" s="20">
        <v>0.2</v>
      </c>
      <c r="AV171" s="20">
        <v>0.13</v>
      </c>
      <c r="AW171" s="20">
        <v>0</v>
      </c>
      <c r="AX171" s="20">
        <v>0</v>
      </c>
      <c r="AY171" s="20">
        <v>0</v>
      </c>
      <c r="AZ171" s="20">
        <v>0.77</v>
      </c>
      <c r="BA171" s="20">
        <v>1</v>
      </c>
      <c r="BB171" s="20">
        <v>0.71</v>
      </c>
      <c r="BC171" s="20">
        <v>1</v>
      </c>
      <c r="BD171" s="20"/>
      <c r="BE171" s="20"/>
      <c r="BF171" s="20"/>
      <c r="BG171" s="20"/>
      <c r="BH171" s="20"/>
      <c r="BI171" s="20"/>
      <c r="BJ171" s="20"/>
      <c r="BK171" s="20"/>
      <c r="BM171" s="2" t="s">
        <v>162</v>
      </c>
      <c r="BN171" s="20">
        <v>0</v>
      </c>
      <c r="BO171" s="20">
        <v>0</v>
      </c>
      <c r="BP171" s="20">
        <v>0.06</v>
      </c>
      <c r="BQ171" s="20">
        <v>0</v>
      </c>
      <c r="BR171" s="20">
        <v>0</v>
      </c>
      <c r="BS171" s="20">
        <v>0</v>
      </c>
      <c r="BT171" s="20">
        <v>0</v>
      </c>
      <c r="BU171" s="20">
        <v>0.65</v>
      </c>
      <c r="BV171" s="20">
        <v>1</v>
      </c>
      <c r="BW171" s="20">
        <v>0</v>
      </c>
      <c r="BX171" s="20">
        <v>1</v>
      </c>
      <c r="BY171" s="20"/>
      <c r="BZ171" s="20"/>
      <c r="CA171" s="20"/>
      <c r="CB171" s="20"/>
      <c r="CC171" s="20"/>
      <c r="CD171" s="20"/>
      <c r="CE171" s="20"/>
      <c r="CF171" s="20"/>
      <c r="CH171" s="2" t="s">
        <v>162</v>
      </c>
      <c r="CI171" s="20">
        <v>0.22</v>
      </c>
      <c r="CJ171" s="20">
        <v>0.26</v>
      </c>
      <c r="CK171" s="20">
        <v>0.5</v>
      </c>
      <c r="CL171" s="20">
        <v>0.2</v>
      </c>
      <c r="CM171" s="20">
        <v>0</v>
      </c>
      <c r="CN171" s="20">
        <v>0</v>
      </c>
      <c r="CO171" s="20">
        <v>0</v>
      </c>
      <c r="CP171" s="20">
        <v>0.76</v>
      </c>
      <c r="CQ171" s="20">
        <v>1</v>
      </c>
      <c r="CR171" s="20">
        <v>0.65</v>
      </c>
      <c r="CS171" s="20">
        <v>1</v>
      </c>
      <c r="CT171" s="20"/>
      <c r="CU171" s="20"/>
      <c r="CV171" s="20"/>
      <c r="CW171" s="20"/>
      <c r="CX171" s="20"/>
      <c r="CY171" s="20"/>
      <c r="CZ171" s="20"/>
      <c r="DA171" s="20"/>
      <c r="DC171" s="4" t="s">
        <v>162</v>
      </c>
      <c r="DD171" s="4">
        <v>0.95</v>
      </c>
      <c r="DE171" s="4">
        <v>0.93540000000000001</v>
      </c>
      <c r="DF171" s="4">
        <v>1.0396000000000001</v>
      </c>
      <c r="DG171" s="4">
        <v>2.1951000000000001</v>
      </c>
      <c r="DH171" s="4">
        <v>1.0073000000000001</v>
      </c>
    </row>
    <row r="172" spans="2:112">
      <c r="B172" s="2" t="s">
        <v>163</v>
      </c>
      <c r="C172" s="20">
        <v>0.15</v>
      </c>
      <c r="D172" s="20">
        <v>0.35</v>
      </c>
      <c r="E172" s="20">
        <v>0.44</v>
      </c>
      <c r="F172" s="20">
        <v>0.2</v>
      </c>
      <c r="G172" s="20">
        <v>0</v>
      </c>
      <c r="H172" s="20">
        <v>0</v>
      </c>
      <c r="I172" s="20">
        <v>0.04</v>
      </c>
      <c r="J172" s="20">
        <v>0</v>
      </c>
      <c r="K172" s="20">
        <v>1</v>
      </c>
      <c r="L172" s="20">
        <v>0.39</v>
      </c>
      <c r="M172" s="20">
        <v>0.53</v>
      </c>
      <c r="N172" s="20">
        <v>1</v>
      </c>
      <c r="O172" s="20"/>
      <c r="P172" s="20"/>
      <c r="Q172" s="20"/>
      <c r="R172" s="20"/>
      <c r="S172" s="20"/>
      <c r="T172" s="20"/>
      <c r="U172" s="20"/>
      <c r="W172" s="2" t="s">
        <v>163</v>
      </c>
      <c r="X172" s="20">
        <v>0</v>
      </c>
      <c r="Y172" s="20">
        <v>0.41</v>
      </c>
      <c r="Z172" s="20">
        <v>0.18</v>
      </c>
      <c r="AA172" s="20">
        <v>0.06</v>
      </c>
      <c r="AB172" s="20">
        <v>0</v>
      </c>
      <c r="AC172" s="20">
        <v>0</v>
      </c>
      <c r="AD172" s="20">
        <v>0</v>
      </c>
      <c r="AE172" s="20">
        <v>0.09</v>
      </c>
      <c r="AF172" s="20">
        <v>1</v>
      </c>
      <c r="AG172" s="20">
        <v>0.37</v>
      </c>
      <c r="AH172" s="20">
        <v>0.17</v>
      </c>
      <c r="AI172" s="20">
        <v>1</v>
      </c>
      <c r="AJ172" s="20"/>
      <c r="AK172" s="20"/>
      <c r="AL172" s="20"/>
      <c r="AM172" s="20"/>
      <c r="AN172" s="20"/>
      <c r="AO172" s="20"/>
      <c r="AP172" s="20"/>
      <c r="AR172" s="2" t="s">
        <v>163</v>
      </c>
      <c r="AS172" s="20">
        <v>0.11</v>
      </c>
      <c r="AT172" s="20">
        <v>0.35</v>
      </c>
      <c r="AU172" s="20">
        <v>0.32</v>
      </c>
      <c r="AV172" s="20">
        <v>0.03</v>
      </c>
      <c r="AW172" s="20">
        <v>0</v>
      </c>
      <c r="AX172" s="20">
        <v>0</v>
      </c>
      <c r="AY172" s="20">
        <v>0</v>
      </c>
      <c r="AZ172" s="20">
        <v>0</v>
      </c>
      <c r="BA172" s="20">
        <v>1</v>
      </c>
      <c r="BB172" s="20">
        <v>0.27</v>
      </c>
      <c r="BC172" s="20">
        <v>0.42</v>
      </c>
      <c r="BD172" s="20">
        <v>1</v>
      </c>
      <c r="BE172" s="20"/>
      <c r="BF172" s="20"/>
      <c r="BG172" s="20"/>
      <c r="BH172" s="20"/>
      <c r="BI172" s="20"/>
      <c r="BJ172" s="20"/>
      <c r="BK172" s="20"/>
      <c r="BM172" s="2" t="s">
        <v>163</v>
      </c>
      <c r="BN172" s="20">
        <v>0</v>
      </c>
      <c r="BO172" s="20">
        <v>0</v>
      </c>
      <c r="BP172" s="20">
        <v>0.03</v>
      </c>
      <c r="BQ172" s="20">
        <v>0</v>
      </c>
      <c r="BR172" s="20">
        <v>0</v>
      </c>
      <c r="BS172" s="20">
        <v>0</v>
      </c>
      <c r="BT172" s="20">
        <v>0</v>
      </c>
      <c r="BU172" s="20">
        <v>0</v>
      </c>
      <c r="BV172" s="20">
        <v>1</v>
      </c>
      <c r="BW172" s="20">
        <v>0</v>
      </c>
      <c r="BX172" s="20">
        <v>0.45</v>
      </c>
      <c r="BY172" s="20">
        <v>1</v>
      </c>
      <c r="BZ172" s="20"/>
      <c r="CA172" s="20"/>
      <c r="CB172" s="20"/>
      <c r="CC172" s="20"/>
      <c r="CD172" s="20"/>
      <c r="CE172" s="20"/>
      <c r="CF172" s="20"/>
      <c r="CH172" s="2" t="s">
        <v>163</v>
      </c>
      <c r="CI172" s="20">
        <v>0.15</v>
      </c>
      <c r="CJ172" s="20">
        <v>0.35</v>
      </c>
      <c r="CK172" s="20">
        <v>0.44</v>
      </c>
      <c r="CL172" s="20">
        <v>0.2</v>
      </c>
      <c r="CM172" s="20">
        <v>0</v>
      </c>
      <c r="CN172" s="20">
        <v>0</v>
      </c>
      <c r="CO172" s="20">
        <v>0.04</v>
      </c>
      <c r="CP172" s="20">
        <v>0</v>
      </c>
      <c r="CQ172" s="20">
        <v>1</v>
      </c>
      <c r="CR172" s="20">
        <v>0.39</v>
      </c>
      <c r="CS172" s="20">
        <v>0.53</v>
      </c>
      <c r="CT172" s="20">
        <v>1</v>
      </c>
      <c r="CU172" s="20"/>
      <c r="CV172" s="20"/>
      <c r="CW172" s="20"/>
      <c r="CX172" s="20"/>
      <c r="CY172" s="20"/>
      <c r="CZ172" s="20"/>
      <c r="DA172" s="20"/>
      <c r="DC172" s="4" t="s">
        <v>163</v>
      </c>
      <c r="DD172" s="4">
        <v>1.8E-3</v>
      </c>
      <c r="DE172" s="4">
        <v>8.8000000000000005E-3</v>
      </c>
      <c r="DF172" s="4">
        <v>2.8999999999999998E-3</v>
      </c>
      <c r="DG172" s="4">
        <v>1.6799999999999999E-2</v>
      </c>
      <c r="DH172" s="4">
        <v>1.9E-3</v>
      </c>
    </row>
    <row r="173" spans="2:112">
      <c r="B173" s="2" t="s">
        <v>164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>
        <v>0</v>
      </c>
      <c r="N173" s="20">
        <v>0</v>
      </c>
      <c r="O173" s="20">
        <v>1</v>
      </c>
      <c r="P173" s="20"/>
      <c r="Q173" s="20"/>
      <c r="R173" s="20"/>
      <c r="S173" s="20"/>
      <c r="T173" s="20"/>
      <c r="U173" s="20"/>
      <c r="W173" s="2" t="s">
        <v>164</v>
      </c>
      <c r="X173" s="20">
        <v>0</v>
      </c>
      <c r="Y173" s="20">
        <v>0</v>
      </c>
      <c r="Z173" s="20">
        <v>0</v>
      </c>
      <c r="AA173" s="20">
        <v>0</v>
      </c>
      <c r="AB173" s="20">
        <v>0</v>
      </c>
      <c r="AC173" s="20">
        <v>0</v>
      </c>
      <c r="AD173" s="20">
        <v>0</v>
      </c>
      <c r="AE173" s="20">
        <v>0</v>
      </c>
      <c r="AF173" s="20">
        <v>0</v>
      </c>
      <c r="AG173" s="20">
        <v>0</v>
      </c>
      <c r="AH173" s="20">
        <v>0</v>
      </c>
      <c r="AI173" s="20">
        <v>0</v>
      </c>
      <c r="AJ173" s="20">
        <v>1</v>
      </c>
      <c r="AK173" s="20"/>
      <c r="AL173" s="20"/>
      <c r="AM173" s="20"/>
      <c r="AN173" s="20"/>
      <c r="AO173" s="20"/>
      <c r="AP173" s="20"/>
      <c r="AR173" s="2" t="s">
        <v>164</v>
      </c>
      <c r="AS173" s="20">
        <v>0</v>
      </c>
      <c r="AT173" s="20">
        <v>0</v>
      </c>
      <c r="AU173" s="20">
        <v>0</v>
      </c>
      <c r="AV173" s="20">
        <v>0</v>
      </c>
      <c r="AW173" s="20">
        <v>0</v>
      </c>
      <c r="AX173" s="20">
        <v>0</v>
      </c>
      <c r="AY173" s="20">
        <v>0</v>
      </c>
      <c r="AZ173" s="20">
        <v>0</v>
      </c>
      <c r="BA173" s="20">
        <v>0</v>
      </c>
      <c r="BB173" s="20">
        <v>0</v>
      </c>
      <c r="BC173" s="20">
        <v>0</v>
      </c>
      <c r="BD173" s="20">
        <v>0</v>
      </c>
      <c r="BE173" s="20">
        <v>1</v>
      </c>
      <c r="BF173" s="20"/>
      <c r="BG173" s="20"/>
      <c r="BH173" s="20"/>
      <c r="BI173" s="20"/>
      <c r="BJ173" s="20"/>
      <c r="BK173" s="20"/>
      <c r="BM173" s="2" t="s">
        <v>164</v>
      </c>
      <c r="BN173" s="20">
        <v>0</v>
      </c>
      <c r="BO173" s="20">
        <v>0</v>
      </c>
      <c r="BP173" s="20">
        <v>0</v>
      </c>
      <c r="BQ173" s="20">
        <v>0</v>
      </c>
      <c r="BR173" s="20">
        <v>0</v>
      </c>
      <c r="BS173" s="20">
        <v>0</v>
      </c>
      <c r="BT173" s="20">
        <v>0</v>
      </c>
      <c r="BU173" s="20">
        <v>0</v>
      </c>
      <c r="BV173" s="20">
        <v>0</v>
      </c>
      <c r="BW173" s="20">
        <v>0</v>
      </c>
      <c r="BX173" s="20">
        <v>0</v>
      </c>
      <c r="BY173" s="20">
        <v>0</v>
      </c>
      <c r="BZ173" s="20">
        <v>1</v>
      </c>
      <c r="CA173" s="20"/>
      <c r="CB173" s="20"/>
      <c r="CC173" s="20"/>
      <c r="CD173" s="20"/>
      <c r="CE173" s="20"/>
      <c r="CF173" s="20"/>
      <c r="CH173" s="2" t="s">
        <v>164</v>
      </c>
      <c r="CI173" s="20">
        <v>0</v>
      </c>
      <c r="CJ173" s="20">
        <v>0</v>
      </c>
      <c r="CK173" s="20">
        <v>0</v>
      </c>
      <c r="CL173" s="20">
        <v>0</v>
      </c>
      <c r="CM173" s="20">
        <v>0</v>
      </c>
      <c r="CN173" s="20">
        <v>0</v>
      </c>
      <c r="CO173" s="20">
        <v>0</v>
      </c>
      <c r="CP173" s="20">
        <v>0</v>
      </c>
      <c r="CQ173" s="20">
        <v>0</v>
      </c>
      <c r="CR173" s="20">
        <v>0</v>
      </c>
      <c r="CS173" s="20">
        <v>0</v>
      </c>
      <c r="CT173" s="20">
        <v>0</v>
      </c>
      <c r="CU173" s="20">
        <v>1</v>
      </c>
      <c r="CV173" s="20"/>
      <c r="CW173" s="20"/>
      <c r="CX173" s="20"/>
      <c r="CY173" s="20"/>
      <c r="CZ173" s="20"/>
      <c r="DA173" s="20"/>
      <c r="DC173" s="4" t="s">
        <v>164</v>
      </c>
      <c r="DD173" s="4">
        <v>0</v>
      </c>
      <c r="DE173" s="4">
        <v>0</v>
      </c>
      <c r="DF173" s="4">
        <v>0</v>
      </c>
      <c r="DG173" s="4">
        <v>0</v>
      </c>
      <c r="DH173" s="4">
        <v>0</v>
      </c>
    </row>
    <row r="174" spans="2:112">
      <c r="B174" s="2" t="s">
        <v>165</v>
      </c>
      <c r="C174" s="20">
        <v>0</v>
      </c>
      <c r="D174" s="20">
        <v>0.21</v>
      </c>
      <c r="E174" s="20">
        <v>0</v>
      </c>
      <c r="F174" s="20">
        <v>0.17</v>
      </c>
      <c r="G174" s="20">
        <v>0</v>
      </c>
      <c r="H174" s="20">
        <v>0</v>
      </c>
      <c r="I174" s="20">
        <v>0</v>
      </c>
      <c r="J174" s="20">
        <v>0</v>
      </c>
      <c r="K174" s="20">
        <v>1</v>
      </c>
      <c r="L174" s="20">
        <v>0</v>
      </c>
      <c r="M174" s="20">
        <v>0</v>
      </c>
      <c r="N174" s="20">
        <v>0.22</v>
      </c>
      <c r="O174" s="20">
        <v>0</v>
      </c>
      <c r="P174" s="20">
        <v>1</v>
      </c>
      <c r="Q174" s="20"/>
      <c r="R174" s="20"/>
      <c r="S174" s="20"/>
      <c r="T174" s="20"/>
      <c r="U174" s="20"/>
      <c r="W174" s="2" t="s">
        <v>165</v>
      </c>
      <c r="X174" s="20">
        <v>0</v>
      </c>
      <c r="Y174" s="20">
        <v>0.01</v>
      </c>
      <c r="Z174" s="20">
        <v>0</v>
      </c>
      <c r="AA174" s="20">
        <v>0.1</v>
      </c>
      <c r="AB174" s="20">
        <v>0</v>
      </c>
      <c r="AC174" s="20">
        <v>0</v>
      </c>
      <c r="AD174" s="20">
        <v>0</v>
      </c>
      <c r="AE174" s="20">
        <v>0</v>
      </c>
      <c r="AF174" s="20">
        <v>1</v>
      </c>
      <c r="AG174" s="20">
        <v>0</v>
      </c>
      <c r="AH174" s="20">
        <v>0</v>
      </c>
      <c r="AI174" s="20">
        <v>0.04</v>
      </c>
      <c r="AJ174" s="20">
        <v>0</v>
      </c>
      <c r="AK174" s="20">
        <v>1</v>
      </c>
      <c r="AL174" s="20"/>
      <c r="AM174" s="20"/>
      <c r="AN174" s="20"/>
      <c r="AO174" s="20"/>
      <c r="AP174" s="20"/>
      <c r="AR174" s="2" t="s">
        <v>165</v>
      </c>
      <c r="AS174" s="20">
        <v>0</v>
      </c>
      <c r="AT174" s="20">
        <v>0.11</v>
      </c>
      <c r="AU174" s="20">
        <v>0.13</v>
      </c>
      <c r="AV174" s="20">
        <v>0.28999999999999998</v>
      </c>
      <c r="AW174" s="20">
        <v>0</v>
      </c>
      <c r="AX174" s="20">
        <v>0</v>
      </c>
      <c r="AY174" s="20">
        <v>0</v>
      </c>
      <c r="AZ174" s="20">
        <v>0</v>
      </c>
      <c r="BA174" s="20">
        <v>1</v>
      </c>
      <c r="BB174" s="20">
        <v>0</v>
      </c>
      <c r="BC174" s="20">
        <v>0</v>
      </c>
      <c r="BD174" s="20">
        <v>0.04</v>
      </c>
      <c r="BE174" s="20">
        <v>0</v>
      </c>
      <c r="BF174" s="20">
        <v>1</v>
      </c>
      <c r="BG174" s="20"/>
      <c r="BH174" s="20"/>
      <c r="BI174" s="20"/>
      <c r="BJ174" s="20"/>
      <c r="BK174" s="20"/>
      <c r="BM174" s="2" t="s">
        <v>165</v>
      </c>
      <c r="BN174" s="20">
        <v>0.16</v>
      </c>
      <c r="BO174" s="20">
        <v>0</v>
      </c>
      <c r="BP174" s="20">
        <v>0</v>
      </c>
      <c r="BQ174" s="20">
        <v>0.02</v>
      </c>
      <c r="BR174" s="20">
        <v>0</v>
      </c>
      <c r="BS174" s="20">
        <v>0</v>
      </c>
      <c r="BT174" s="20">
        <v>0</v>
      </c>
      <c r="BU174" s="20">
        <v>0</v>
      </c>
      <c r="BV174" s="20">
        <v>1</v>
      </c>
      <c r="BW174" s="20">
        <v>0</v>
      </c>
      <c r="BX174" s="20">
        <v>1</v>
      </c>
      <c r="BY174" s="20">
        <v>1</v>
      </c>
      <c r="BZ174" s="20">
        <v>0</v>
      </c>
      <c r="CA174" s="20">
        <v>1</v>
      </c>
      <c r="CB174" s="20"/>
      <c r="CC174" s="20"/>
      <c r="CD174" s="20"/>
      <c r="CE174" s="20"/>
      <c r="CF174" s="20"/>
      <c r="CH174" s="2" t="s">
        <v>165</v>
      </c>
      <c r="CI174" s="20">
        <v>0</v>
      </c>
      <c r="CJ174" s="20">
        <v>0.21</v>
      </c>
      <c r="CK174" s="20">
        <v>0</v>
      </c>
      <c r="CL174" s="20">
        <v>0.17</v>
      </c>
      <c r="CM174" s="20">
        <v>0</v>
      </c>
      <c r="CN174" s="20">
        <v>0</v>
      </c>
      <c r="CO174" s="20">
        <v>0</v>
      </c>
      <c r="CP174" s="20">
        <v>0</v>
      </c>
      <c r="CQ174" s="20">
        <v>1</v>
      </c>
      <c r="CR174" s="20">
        <v>0</v>
      </c>
      <c r="CS174" s="20">
        <v>0</v>
      </c>
      <c r="CT174" s="20">
        <v>0.22</v>
      </c>
      <c r="CU174" s="20">
        <v>0</v>
      </c>
      <c r="CV174" s="20">
        <v>1</v>
      </c>
      <c r="CW174" s="20"/>
      <c r="CX174" s="20"/>
      <c r="CY174" s="20"/>
      <c r="CZ174" s="20"/>
      <c r="DA174" s="20"/>
      <c r="DC174" s="4" t="s">
        <v>165</v>
      </c>
      <c r="DD174" s="4">
        <v>1E-4</v>
      </c>
      <c r="DE174" s="4">
        <v>1E-4</v>
      </c>
      <c r="DF174" s="4">
        <v>1E-4</v>
      </c>
      <c r="DG174" s="4">
        <v>0</v>
      </c>
      <c r="DH174" s="4">
        <v>1E-4</v>
      </c>
    </row>
    <row r="175" spans="2:112">
      <c r="B175" s="2" t="s">
        <v>166</v>
      </c>
      <c r="C175" s="20">
        <v>0</v>
      </c>
      <c r="D175" s="20">
        <v>0</v>
      </c>
      <c r="E175" s="20">
        <v>0</v>
      </c>
      <c r="F175" s="20">
        <v>0</v>
      </c>
      <c r="G175" s="20">
        <v>0</v>
      </c>
      <c r="H175" s="20">
        <v>0</v>
      </c>
      <c r="I175" s="20">
        <v>0</v>
      </c>
      <c r="J175" s="20">
        <v>0</v>
      </c>
      <c r="K175" s="20">
        <v>0</v>
      </c>
      <c r="L175" s="20">
        <v>0</v>
      </c>
      <c r="M175" s="20">
        <v>0</v>
      </c>
      <c r="N175" s="20">
        <v>0</v>
      </c>
      <c r="O175" s="20">
        <v>0</v>
      </c>
      <c r="P175" s="20">
        <v>0</v>
      </c>
      <c r="Q175" s="20">
        <v>1</v>
      </c>
      <c r="R175" s="20"/>
      <c r="S175" s="20"/>
      <c r="T175" s="20"/>
      <c r="U175" s="20"/>
      <c r="W175" s="2" t="s">
        <v>166</v>
      </c>
      <c r="X175" s="20">
        <v>0</v>
      </c>
      <c r="Y175" s="20">
        <v>0</v>
      </c>
      <c r="Z175" s="20">
        <v>0</v>
      </c>
      <c r="AA175" s="20">
        <v>0</v>
      </c>
      <c r="AB175" s="20">
        <v>0</v>
      </c>
      <c r="AC175" s="20">
        <v>0</v>
      </c>
      <c r="AD175" s="20">
        <v>0</v>
      </c>
      <c r="AE175" s="20">
        <v>0</v>
      </c>
      <c r="AF175" s="20">
        <v>0</v>
      </c>
      <c r="AG175" s="20">
        <v>0</v>
      </c>
      <c r="AH175" s="20">
        <v>0</v>
      </c>
      <c r="AI175" s="20">
        <v>0</v>
      </c>
      <c r="AJ175" s="20">
        <v>0</v>
      </c>
      <c r="AK175" s="20">
        <v>0</v>
      </c>
      <c r="AL175" s="20">
        <v>1</v>
      </c>
      <c r="AM175" s="20"/>
      <c r="AN175" s="20"/>
      <c r="AO175" s="20"/>
      <c r="AP175" s="20"/>
      <c r="AR175" s="2" t="s">
        <v>166</v>
      </c>
      <c r="AS175" s="20">
        <v>0</v>
      </c>
      <c r="AT175" s="20">
        <v>0</v>
      </c>
      <c r="AU175" s="20">
        <v>0</v>
      </c>
      <c r="AV175" s="20">
        <v>0</v>
      </c>
      <c r="AW175" s="20">
        <v>0</v>
      </c>
      <c r="AX175" s="20">
        <v>0</v>
      </c>
      <c r="AY175" s="20">
        <v>0</v>
      </c>
      <c r="AZ175" s="20">
        <v>0</v>
      </c>
      <c r="BA175" s="20">
        <v>0</v>
      </c>
      <c r="BB175" s="20">
        <v>0</v>
      </c>
      <c r="BC175" s="20">
        <v>0</v>
      </c>
      <c r="BD175" s="20">
        <v>0</v>
      </c>
      <c r="BE175" s="20">
        <v>0</v>
      </c>
      <c r="BF175" s="20">
        <v>0</v>
      </c>
      <c r="BG175" s="20">
        <v>1</v>
      </c>
      <c r="BH175" s="20"/>
      <c r="BI175" s="20"/>
      <c r="BJ175" s="20"/>
      <c r="BK175" s="20"/>
      <c r="BM175" s="2" t="s">
        <v>166</v>
      </c>
      <c r="BN175" s="20">
        <v>0</v>
      </c>
      <c r="BO175" s="20">
        <v>0</v>
      </c>
      <c r="BP175" s="20">
        <v>0</v>
      </c>
      <c r="BQ175" s="20">
        <v>0</v>
      </c>
      <c r="BR175" s="20">
        <v>0</v>
      </c>
      <c r="BS175" s="20">
        <v>0</v>
      </c>
      <c r="BT175" s="20">
        <v>0</v>
      </c>
      <c r="BU175" s="20">
        <v>0</v>
      </c>
      <c r="BV175" s="20">
        <v>0</v>
      </c>
      <c r="BW175" s="20">
        <v>0</v>
      </c>
      <c r="BX175" s="20">
        <v>0</v>
      </c>
      <c r="BY175" s="20">
        <v>0</v>
      </c>
      <c r="BZ175" s="20">
        <v>0</v>
      </c>
      <c r="CA175" s="20">
        <v>0</v>
      </c>
      <c r="CB175" s="20">
        <v>1</v>
      </c>
      <c r="CC175" s="20"/>
      <c r="CD175" s="20"/>
      <c r="CE175" s="20"/>
      <c r="CF175" s="20"/>
      <c r="CH175" s="2" t="s">
        <v>166</v>
      </c>
      <c r="CI175" s="20">
        <v>0</v>
      </c>
      <c r="CJ175" s="20">
        <v>0</v>
      </c>
      <c r="CK175" s="20">
        <v>0</v>
      </c>
      <c r="CL175" s="20">
        <v>0</v>
      </c>
      <c r="CM175" s="20">
        <v>0</v>
      </c>
      <c r="CN175" s="20">
        <v>0</v>
      </c>
      <c r="CO175" s="20">
        <v>0</v>
      </c>
      <c r="CP175" s="20">
        <v>0</v>
      </c>
      <c r="CQ175" s="20">
        <v>0</v>
      </c>
      <c r="CR175" s="20">
        <v>0</v>
      </c>
      <c r="CS175" s="20">
        <v>0</v>
      </c>
      <c r="CT175" s="20">
        <v>0</v>
      </c>
      <c r="CU175" s="20">
        <v>0</v>
      </c>
      <c r="CV175" s="20">
        <v>0</v>
      </c>
      <c r="CW175" s="20">
        <v>1</v>
      </c>
      <c r="CX175" s="20"/>
      <c r="CY175" s="20"/>
      <c r="CZ175" s="20"/>
      <c r="DA175" s="20"/>
      <c r="DC175" s="4" t="s">
        <v>166</v>
      </c>
      <c r="DD175" s="4">
        <v>0</v>
      </c>
      <c r="DE175" s="4">
        <v>0</v>
      </c>
      <c r="DF175" s="4">
        <v>0</v>
      </c>
      <c r="DG175" s="4">
        <v>0</v>
      </c>
      <c r="DH175" s="4">
        <v>0</v>
      </c>
    </row>
    <row r="176" spans="2:112">
      <c r="B176" s="2" t="s">
        <v>167</v>
      </c>
      <c r="C176" s="20">
        <v>0</v>
      </c>
      <c r="D176" s="20">
        <v>0.97</v>
      </c>
      <c r="E176" s="20">
        <v>0.43</v>
      </c>
      <c r="F176" s="20">
        <v>0</v>
      </c>
      <c r="G176" s="20">
        <v>0</v>
      </c>
      <c r="H176" s="20">
        <v>0</v>
      </c>
      <c r="I176" s="20">
        <v>0</v>
      </c>
      <c r="J176" s="20">
        <v>0</v>
      </c>
      <c r="K176" s="20">
        <v>1</v>
      </c>
      <c r="L176" s="20">
        <v>0.34</v>
      </c>
      <c r="M176" s="20">
        <v>0.19</v>
      </c>
      <c r="N176" s="20">
        <v>1</v>
      </c>
      <c r="O176" s="20">
        <v>0</v>
      </c>
      <c r="P176" s="20">
        <v>1</v>
      </c>
      <c r="Q176" s="20">
        <v>0</v>
      </c>
      <c r="R176" s="20">
        <v>1</v>
      </c>
      <c r="S176" s="20"/>
      <c r="T176" s="20"/>
      <c r="U176" s="20"/>
      <c r="W176" s="2" t="s">
        <v>167</v>
      </c>
      <c r="X176" s="20">
        <v>0</v>
      </c>
      <c r="Y176" s="20">
        <v>0</v>
      </c>
      <c r="Z176" s="20">
        <v>0.01</v>
      </c>
      <c r="AA176" s="20">
        <v>0.01</v>
      </c>
      <c r="AB176" s="20">
        <v>0</v>
      </c>
      <c r="AC176" s="20">
        <v>0</v>
      </c>
      <c r="AD176" s="20">
        <v>0</v>
      </c>
      <c r="AE176" s="20">
        <v>0</v>
      </c>
      <c r="AF176" s="20">
        <v>1</v>
      </c>
      <c r="AG176" s="20">
        <v>0</v>
      </c>
      <c r="AH176" s="20">
        <v>0</v>
      </c>
      <c r="AI176" s="20">
        <v>0.01</v>
      </c>
      <c r="AJ176" s="20">
        <v>0</v>
      </c>
      <c r="AK176" s="20">
        <v>0.79</v>
      </c>
      <c r="AL176" s="20">
        <v>0</v>
      </c>
      <c r="AM176" s="20">
        <v>1</v>
      </c>
      <c r="AN176" s="20"/>
      <c r="AO176" s="20"/>
      <c r="AP176" s="20"/>
      <c r="AR176" s="2" t="s">
        <v>167</v>
      </c>
      <c r="AS176" s="20">
        <v>0</v>
      </c>
      <c r="AT176" s="20">
        <v>0.33</v>
      </c>
      <c r="AU176" s="20">
        <v>0.47</v>
      </c>
      <c r="AV176" s="20">
        <v>0</v>
      </c>
      <c r="AW176" s="20">
        <v>0</v>
      </c>
      <c r="AX176" s="20">
        <v>0</v>
      </c>
      <c r="AY176" s="20">
        <v>0</v>
      </c>
      <c r="AZ176" s="20">
        <v>0</v>
      </c>
      <c r="BA176" s="20">
        <v>1</v>
      </c>
      <c r="BB176" s="20">
        <v>0.06</v>
      </c>
      <c r="BC176" s="20">
        <v>0</v>
      </c>
      <c r="BD176" s="20">
        <v>0.28000000000000003</v>
      </c>
      <c r="BE176" s="20">
        <v>0</v>
      </c>
      <c r="BF176" s="20">
        <v>1</v>
      </c>
      <c r="BG176" s="20">
        <v>0</v>
      </c>
      <c r="BH176" s="20">
        <v>1</v>
      </c>
      <c r="BI176" s="20"/>
      <c r="BJ176" s="20"/>
      <c r="BK176" s="20"/>
      <c r="BM176" s="2" t="s">
        <v>167</v>
      </c>
      <c r="BN176" s="20">
        <v>0</v>
      </c>
      <c r="BO176" s="20">
        <v>0.95</v>
      </c>
      <c r="BP176" s="20">
        <v>1</v>
      </c>
      <c r="BQ176" s="20">
        <v>1</v>
      </c>
      <c r="BR176" s="20">
        <v>0</v>
      </c>
      <c r="BS176" s="20">
        <v>0</v>
      </c>
      <c r="BT176" s="20">
        <v>0</v>
      </c>
      <c r="BU176" s="20">
        <v>7.0000000000000007E-2</v>
      </c>
      <c r="BV176" s="20">
        <v>1</v>
      </c>
      <c r="BW176" s="20">
        <v>0</v>
      </c>
      <c r="BX176" s="20">
        <v>0.52</v>
      </c>
      <c r="BY176" s="20">
        <v>0.44</v>
      </c>
      <c r="BZ176" s="20">
        <v>0</v>
      </c>
      <c r="CA176" s="20">
        <v>1</v>
      </c>
      <c r="CB176" s="20">
        <v>0</v>
      </c>
      <c r="CC176" s="20">
        <v>1</v>
      </c>
      <c r="CD176" s="20"/>
      <c r="CE176" s="20"/>
      <c r="CF176" s="20"/>
      <c r="CH176" s="2" t="s">
        <v>167</v>
      </c>
      <c r="CI176" s="20">
        <v>0</v>
      </c>
      <c r="CJ176" s="20">
        <v>0.97</v>
      </c>
      <c r="CK176" s="20">
        <v>0.43</v>
      </c>
      <c r="CL176" s="20">
        <v>0</v>
      </c>
      <c r="CM176" s="20">
        <v>0</v>
      </c>
      <c r="CN176" s="20">
        <v>0</v>
      </c>
      <c r="CO176" s="20">
        <v>0</v>
      </c>
      <c r="CP176" s="20">
        <v>0</v>
      </c>
      <c r="CQ176" s="20">
        <v>1</v>
      </c>
      <c r="CR176" s="20">
        <v>0.34</v>
      </c>
      <c r="CS176" s="20">
        <v>0.19</v>
      </c>
      <c r="CT176" s="20">
        <v>1</v>
      </c>
      <c r="CU176" s="20">
        <v>0</v>
      </c>
      <c r="CV176" s="20">
        <v>1</v>
      </c>
      <c r="CW176" s="20">
        <v>0</v>
      </c>
      <c r="CX176" s="20">
        <v>1</v>
      </c>
      <c r="CY176" s="20"/>
      <c r="CZ176" s="20"/>
      <c r="DA176" s="20"/>
      <c r="DC176" s="4" t="s">
        <v>167</v>
      </c>
      <c r="DD176" s="4">
        <v>0</v>
      </c>
      <c r="DE176" s="4">
        <v>0</v>
      </c>
      <c r="DF176" s="4">
        <v>0</v>
      </c>
      <c r="DG176" s="4">
        <v>0</v>
      </c>
      <c r="DH176" s="4">
        <v>0</v>
      </c>
    </row>
    <row r="177" spans="1:112">
      <c r="B177" s="2" t="s">
        <v>168</v>
      </c>
      <c r="C177" s="20">
        <v>0.69</v>
      </c>
      <c r="D177" s="20">
        <v>0.02</v>
      </c>
      <c r="E177" s="20">
        <v>0.13</v>
      </c>
      <c r="F177" s="20">
        <v>0.38</v>
      </c>
      <c r="G177" s="20">
        <v>0.73</v>
      </c>
      <c r="H177" s="20">
        <v>0.75</v>
      </c>
      <c r="I177" s="20">
        <v>0.4</v>
      </c>
      <c r="J177" s="20">
        <v>0</v>
      </c>
      <c r="K177" s="20">
        <v>1</v>
      </c>
      <c r="L177" s="20">
        <v>0</v>
      </c>
      <c r="M177" s="20">
        <v>0.12</v>
      </c>
      <c r="N177" s="20">
        <v>0.04</v>
      </c>
      <c r="O177" s="20">
        <v>0</v>
      </c>
      <c r="P177" s="20">
        <v>0</v>
      </c>
      <c r="Q177" s="20">
        <v>0</v>
      </c>
      <c r="R177" s="20">
        <v>0</v>
      </c>
      <c r="S177" s="20">
        <v>1</v>
      </c>
      <c r="T177" s="20"/>
      <c r="U177" s="20"/>
      <c r="W177" s="2" t="s">
        <v>168</v>
      </c>
      <c r="X177" s="20">
        <v>0.53</v>
      </c>
      <c r="Y177" s="20">
        <v>0.24</v>
      </c>
      <c r="Z177" s="20">
        <v>0.18</v>
      </c>
      <c r="AA177" s="20">
        <v>0.26</v>
      </c>
      <c r="AB177" s="20">
        <v>0.64</v>
      </c>
      <c r="AC177" s="20">
        <v>0.73</v>
      </c>
      <c r="AD177" s="20">
        <v>0.42</v>
      </c>
      <c r="AE177" s="20">
        <v>0</v>
      </c>
      <c r="AF177" s="20">
        <v>1</v>
      </c>
      <c r="AG177" s="20">
        <v>0</v>
      </c>
      <c r="AH177" s="20">
        <v>0.15</v>
      </c>
      <c r="AI177" s="20">
        <v>0</v>
      </c>
      <c r="AJ177" s="20">
        <v>0</v>
      </c>
      <c r="AK177" s="20">
        <v>0</v>
      </c>
      <c r="AL177" s="20">
        <v>0</v>
      </c>
      <c r="AM177" s="20">
        <v>0</v>
      </c>
      <c r="AN177" s="20">
        <v>1</v>
      </c>
      <c r="AO177" s="20"/>
      <c r="AP177" s="20"/>
      <c r="AR177" s="2" t="s">
        <v>168</v>
      </c>
      <c r="AS177" s="20">
        <v>0.68</v>
      </c>
      <c r="AT177" s="20">
        <v>0.05</v>
      </c>
      <c r="AU177" s="20">
        <v>0</v>
      </c>
      <c r="AV177" s="20">
        <v>0.35</v>
      </c>
      <c r="AW177" s="20">
        <v>0.65</v>
      </c>
      <c r="AX177" s="20">
        <v>0.78</v>
      </c>
      <c r="AY177" s="20">
        <v>0.44</v>
      </c>
      <c r="AZ177" s="20">
        <v>0</v>
      </c>
      <c r="BA177" s="20">
        <v>1</v>
      </c>
      <c r="BB177" s="20">
        <v>0</v>
      </c>
      <c r="BC177" s="20">
        <v>0.14000000000000001</v>
      </c>
      <c r="BD177" s="20">
        <v>0</v>
      </c>
      <c r="BE177" s="20">
        <v>0</v>
      </c>
      <c r="BF177" s="20">
        <v>0</v>
      </c>
      <c r="BG177" s="20">
        <v>0</v>
      </c>
      <c r="BH177" s="20">
        <v>0</v>
      </c>
      <c r="BI177" s="20">
        <v>1</v>
      </c>
      <c r="BJ177" s="20"/>
      <c r="BK177" s="20"/>
      <c r="BM177" s="2" t="s">
        <v>168</v>
      </c>
      <c r="BN177" s="20">
        <v>0.65</v>
      </c>
      <c r="BO177" s="20">
        <v>0.24</v>
      </c>
      <c r="BP177" s="20">
        <v>0</v>
      </c>
      <c r="BQ177" s="20">
        <v>0.13</v>
      </c>
      <c r="BR177" s="20">
        <v>0.71</v>
      </c>
      <c r="BS177" s="20">
        <v>0.67</v>
      </c>
      <c r="BT177" s="20">
        <v>0.48</v>
      </c>
      <c r="BU177" s="20">
        <v>0.01</v>
      </c>
      <c r="BV177" s="20">
        <v>0</v>
      </c>
      <c r="BW177" s="20">
        <v>0</v>
      </c>
      <c r="BX177" s="20">
        <v>0</v>
      </c>
      <c r="BY177" s="20">
        <v>0</v>
      </c>
      <c r="BZ177" s="20">
        <v>0</v>
      </c>
      <c r="CA177" s="20">
        <v>0</v>
      </c>
      <c r="CB177" s="20">
        <v>0</v>
      </c>
      <c r="CC177" s="20">
        <v>0</v>
      </c>
      <c r="CD177" s="20">
        <v>1</v>
      </c>
      <c r="CE177" s="20"/>
      <c r="CF177" s="20"/>
      <c r="CH177" s="2" t="s">
        <v>168</v>
      </c>
      <c r="CI177" s="20">
        <v>0.69</v>
      </c>
      <c r="CJ177" s="20">
        <v>0.02</v>
      </c>
      <c r="CK177" s="20">
        <v>0.13</v>
      </c>
      <c r="CL177" s="20">
        <v>0.38</v>
      </c>
      <c r="CM177" s="20">
        <v>0.73</v>
      </c>
      <c r="CN177" s="20">
        <v>0.75</v>
      </c>
      <c r="CO177" s="20">
        <v>0.4</v>
      </c>
      <c r="CP177" s="20">
        <v>0</v>
      </c>
      <c r="CQ177" s="20">
        <v>1</v>
      </c>
      <c r="CR177" s="20">
        <v>0</v>
      </c>
      <c r="CS177" s="20">
        <v>0.12</v>
      </c>
      <c r="CT177" s="20">
        <v>0.04</v>
      </c>
      <c r="CU177" s="20">
        <v>0</v>
      </c>
      <c r="CV177" s="20">
        <v>0</v>
      </c>
      <c r="CW177" s="20">
        <v>0</v>
      </c>
      <c r="CX177" s="20">
        <v>0</v>
      </c>
      <c r="CY177" s="20">
        <v>1</v>
      </c>
      <c r="CZ177" s="20"/>
      <c r="DA177" s="20"/>
      <c r="DC177" s="4" t="s">
        <v>168</v>
      </c>
      <c r="DD177" s="4">
        <v>1.3281000000000001</v>
      </c>
      <c r="DE177" s="4">
        <v>1.5491999999999999</v>
      </c>
      <c r="DF177" s="4">
        <v>1.4805999999999999</v>
      </c>
      <c r="DG177" s="4">
        <v>0.95150000000000001</v>
      </c>
      <c r="DH177" s="4">
        <v>1.4081999999999999</v>
      </c>
    </row>
    <row r="178" spans="1:112">
      <c r="B178" s="2" t="s">
        <v>169</v>
      </c>
      <c r="C178" s="20">
        <v>0.28000000000000003</v>
      </c>
      <c r="D178" s="20">
        <v>0.33</v>
      </c>
      <c r="E178" s="20">
        <v>0.48</v>
      </c>
      <c r="F178" s="20">
        <v>0.26</v>
      </c>
      <c r="G178" s="20">
        <v>0.73</v>
      </c>
      <c r="H178" s="20">
        <v>0.11</v>
      </c>
      <c r="I178" s="20">
        <v>0.11</v>
      </c>
      <c r="J178" s="20">
        <v>0</v>
      </c>
      <c r="K178" s="20">
        <v>1</v>
      </c>
      <c r="L178" s="20">
        <v>0.24</v>
      </c>
      <c r="M178" s="20">
        <v>0.35</v>
      </c>
      <c r="N178" s="20">
        <v>0.4</v>
      </c>
      <c r="O178" s="20">
        <v>0</v>
      </c>
      <c r="P178" s="20">
        <v>0.21</v>
      </c>
      <c r="Q178" s="20">
        <v>0</v>
      </c>
      <c r="R178" s="20">
        <v>0.65</v>
      </c>
      <c r="S178" s="20">
        <v>0.18</v>
      </c>
      <c r="T178" s="20">
        <v>1</v>
      </c>
      <c r="U178" s="20"/>
      <c r="W178" s="2" t="s">
        <v>169</v>
      </c>
      <c r="X178" s="20">
        <v>0.23</v>
      </c>
      <c r="Y178" s="20">
        <v>0.28000000000000003</v>
      </c>
      <c r="Z178" s="20">
        <v>0.37</v>
      </c>
      <c r="AA178" s="20">
        <v>0</v>
      </c>
      <c r="AB178" s="20">
        <v>0.51</v>
      </c>
      <c r="AC178" s="20">
        <v>0.32</v>
      </c>
      <c r="AD178" s="20">
        <v>0.22</v>
      </c>
      <c r="AE178" s="20">
        <v>0.19</v>
      </c>
      <c r="AF178" s="20">
        <v>1</v>
      </c>
      <c r="AG178" s="20">
        <v>0</v>
      </c>
      <c r="AH178" s="20">
        <v>0.33</v>
      </c>
      <c r="AI178" s="20">
        <v>0</v>
      </c>
      <c r="AJ178" s="20">
        <v>0</v>
      </c>
      <c r="AK178" s="20">
        <v>0</v>
      </c>
      <c r="AL178" s="20">
        <v>0</v>
      </c>
      <c r="AM178" s="20">
        <v>0</v>
      </c>
      <c r="AN178" s="20">
        <v>0.33</v>
      </c>
      <c r="AO178" s="20">
        <v>1</v>
      </c>
      <c r="AP178" s="20"/>
      <c r="AR178" s="2" t="s">
        <v>169</v>
      </c>
      <c r="AS178" s="20">
        <v>0.34</v>
      </c>
      <c r="AT178" s="20">
        <v>0.03</v>
      </c>
      <c r="AU178" s="20">
        <v>0</v>
      </c>
      <c r="AV178" s="20">
        <v>0</v>
      </c>
      <c r="AW178" s="20">
        <v>0.59</v>
      </c>
      <c r="AX178" s="20">
        <v>0.34</v>
      </c>
      <c r="AY178" s="20">
        <v>0.31</v>
      </c>
      <c r="AZ178" s="20">
        <v>0.27</v>
      </c>
      <c r="BA178" s="20">
        <v>1</v>
      </c>
      <c r="BB178" s="20">
        <v>0</v>
      </c>
      <c r="BC178" s="20">
        <v>0.21</v>
      </c>
      <c r="BD178" s="20">
        <v>0.02</v>
      </c>
      <c r="BE178" s="20">
        <v>0</v>
      </c>
      <c r="BF178" s="20">
        <v>0</v>
      </c>
      <c r="BG178" s="20">
        <v>0</v>
      </c>
      <c r="BH178" s="20">
        <v>0</v>
      </c>
      <c r="BI178" s="20">
        <v>0.28999999999999998</v>
      </c>
      <c r="BJ178" s="20">
        <v>1</v>
      </c>
      <c r="BK178" s="20"/>
      <c r="BM178" s="2" t="s">
        <v>169</v>
      </c>
      <c r="BN178" s="20">
        <v>0.38</v>
      </c>
      <c r="BO178" s="20">
        <v>0</v>
      </c>
      <c r="BP178" s="20">
        <v>0</v>
      </c>
      <c r="BQ178" s="20">
        <v>0</v>
      </c>
      <c r="BR178" s="20">
        <v>0.67</v>
      </c>
      <c r="BS178" s="20">
        <v>0.53</v>
      </c>
      <c r="BT178" s="20">
        <v>0.52</v>
      </c>
      <c r="BU178" s="20">
        <v>0</v>
      </c>
      <c r="BV178" s="20">
        <v>0</v>
      </c>
      <c r="BW178" s="20">
        <v>0</v>
      </c>
      <c r="BX178" s="20">
        <v>0</v>
      </c>
      <c r="BY178" s="20">
        <v>0</v>
      </c>
      <c r="BZ178" s="20">
        <v>0</v>
      </c>
      <c r="CA178" s="20">
        <v>0</v>
      </c>
      <c r="CB178" s="20">
        <v>0</v>
      </c>
      <c r="CC178" s="20">
        <v>0</v>
      </c>
      <c r="CD178" s="20">
        <v>0.92</v>
      </c>
      <c r="CE178" s="20">
        <v>1</v>
      </c>
      <c r="CF178" s="20"/>
      <c r="CH178" s="2" t="s">
        <v>169</v>
      </c>
      <c r="CI178" s="20">
        <v>0.28000000000000003</v>
      </c>
      <c r="CJ178" s="20">
        <v>0.33</v>
      </c>
      <c r="CK178" s="20">
        <v>0.48</v>
      </c>
      <c r="CL178" s="20">
        <v>0.26</v>
      </c>
      <c r="CM178" s="20">
        <v>0.73</v>
      </c>
      <c r="CN178" s="20">
        <v>0.11</v>
      </c>
      <c r="CO178" s="20">
        <v>0.11</v>
      </c>
      <c r="CP178" s="20">
        <v>0</v>
      </c>
      <c r="CQ178" s="20">
        <v>1</v>
      </c>
      <c r="CR178" s="20">
        <v>0.24</v>
      </c>
      <c r="CS178" s="20">
        <v>0.35</v>
      </c>
      <c r="CT178" s="20">
        <v>0.4</v>
      </c>
      <c r="CU178" s="20">
        <v>0</v>
      </c>
      <c r="CV178" s="20">
        <v>0.21</v>
      </c>
      <c r="CW178" s="20">
        <v>0</v>
      </c>
      <c r="CX178" s="20">
        <v>0.65</v>
      </c>
      <c r="CY178" s="20">
        <v>0.18</v>
      </c>
      <c r="CZ178" s="20">
        <v>1</v>
      </c>
      <c r="DA178" s="20"/>
      <c r="DC178" s="4" t="s">
        <v>169</v>
      </c>
      <c r="DD178" s="4">
        <v>0.19650000000000001</v>
      </c>
      <c r="DE178" s="4">
        <v>0.1179</v>
      </c>
      <c r="DF178" s="4">
        <v>0.16969999999999999</v>
      </c>
      <c r="DG178" s="4">
        <v>7.6600000000000001E-2</v>
      </c>
      <c r="DH178" s="4">
        <v>0.20830000000000001</v>
      </c>
    </row>
    <row r="179" spans="1:112">
      <c r="B179" s="2" t="s">
        <v>170</v>
      </c>
      <c r="C179" s="21">
        <v>0.42</v>
      </c>
      <c r="D179" s="21">
        <v>0</v>
      </c>
      <c r="E179" s="21">
        <v>0.27</v>
      </c>
      <c r="F179" s="21">
        <v>0.06</v>
      </c>
      <c r="G179" s="21">
        <v>0.67</v>
      </c>
      <c r="H179" s="21">
        <v>0.5</v>
      </c>
      <c r="I179" s="21">
        <v>0.42</v>
      </c>
      <c r="J179" s="21">
        <v>0.02</v>
      </c>
      <c r="K179" s="21">
        <v>1</v>
      </c>
      <c r="L179" s="21">
        <v>0</v>
      </c>
      <c r="M179" s="21">
        <v>0.14000000000000001</v>
      </c>
      <c r="N179" s="21">
        <v>0.12</v>
      </c>
      <c r="O179" s="21">
        <v>0</v>
      </c>
      <c r="P179" s="21">
        <v>0</v>
      </c>
      <c r="Q179" s="21">
        <v>0</v>
      </c>
      <c r="R179" s="21">
        <v>0</v>
      </c>
      <c r="S179" s="21">
        <v>0.23</v>
      </c>
      <c r="T179" s="21">
        <v>0.4</v>
      </c>
      <c r="U179" s="21">
        <v>1</v>
      </c>
      <c r="W179" s="2" t="s">
        <v>170</v>
      </c>
      <c r="X179" s="21">
        <v>0.38</v>
      </c>
      <c r="Y179" s="21">
        <v>0</v>
      </c>
      <c r="Z179" s="21">
        <v>0.02</v>
      </c>
      <c r="AA179" s="21">
        <v>0.05</v>
      </c>
      <c r="AB179" s="21">
        <v>0.63</v>
      </c>
      <c r="AC179" s="21">
        <v>0.37</v>
      </c>
      <c r="AD179" s="21">
        <v>0.45</v>
      </c>
      <c r="AE179" s="21">
        <v>0.27</v>
      </c>
      <c r="AF179" s="21">
        <v>0</v>
      </c>
      <c r="AG179" s="21">
        <v>0</v>
      </c>
      <c r="AH179" s="21">
        <v>0</v>
      </c>
      <c r="AI179" s="21">
        <v>0</v>
      </c>
      <c r="AJ179" s="21">
        <v>0</v>
      </c>
      <c r="AK179" s="21">
        <v>0</v>
      </c>
      <c r="AL179" s="21">
        <v>0</v>
      </c>
      <c r="AM179" s="21">
        <v>0</v>
      </c>
      <c r="AN179" s="21">
        <v>0.17</v>
      </c>
      <c r="AO179" s="21">
        <v>0.12</v>
      </c>
      <c r="AP179" s="21">
        <v>1</v>
      </c>
      <c r="AR179" s="2" t="s">
        <v>170</v>
      </c>
      <c r="AS179" s="21">
        <v>0.43</v>
      </c>
      <c r="AT179" s="21">
        <v>0</v>
      </c>
      <c r="AU179" s="21">
        <v>0.3</v>
      </c>
      <c r="AV179" s="21">
        <v>0</v>
      </c>
      <c r="AW179" s="21">
        <v>0.54</v>
      </c>
      <c r="AX179" s="21">
        <v>0.41</v>
      </c>
      <c r="AY179" s="21">
        <v>0.47</v>
      </c>
      <c r="AZ179" s="21">
        <v>0.24</v>
      </c>
      <c r="BA179" s="21">
        <v>1</v>
      </c>
      <c r="BB179" s="21">
        <v>0</v>
      </c>
      <c r="BC179" s="21">
        <v>0.06</v>
      </c>
      <c r="BD179" s="21">
        <v>0</v>
      </c>
      <c r="BE179" s="21">
        <v>0</v>
      </c>
      <c r="BF179" s="21">
        <v>0</v>
      </c>
      <c r="BG179" s="21">
        <v>0</v>
      </c>
      <c r="BH179" s="21">
        <v>0</v>
      </c>
      <c r="BI179" s="21">
        <v>0.3</v>
      </c>
      <c r="BJ179" s="21">
        <v>0.6</v>
      </c>
      <c r="BK179" s="21">
        <v>1</v>
      </c>
      <c r="BM179" s="2" t="s">
        <v>170</v>
      </c>
      <c r="BN179" s="21">
        <v>0.22</v>
      </c>
      <c r="BO179" s="21">
        <v>0</v>
      </c>
      <c r="BP179" s="21">
        <v>0</v>
      </c>
      <c r="BQ179" s="21">
        <v>0</v>
      </c>
      <c r="BR179" s="21">
        <v>0.48</v>
      </c>
      <c r="BS179" s="21">
        <v>0.4</v>
      </c>
      <c r="BT179" s="21">
        <v>0.41</v>
      </c>
      <c r="BU179" s="21">
        <v>0</v>
      </c>
      <c r="BV179" s="21">
        <v>0</v>
      </c>
      <c r="BW179" s="21">
        <v>0</v>
      </c>
      <c r="BX179" s="21">
        <v>0</v>
      </c>
      <c r="BY179" s="21">
        <v>0</v>
      </c>
      <c r="BZ179" s="21">
        <v>0</v>
      </c>
      <c r="CA179" s="21">
        <v>0</v>
      </c>
      <c r="CB179" s="21">
        <v>0</v>
      </c>
      <c r="CC179" s="21">
        <v>0</v>
      </c>
      <c r="CD179" s="21">
        <v>0.39</v>
      </c>
      <c r="CE179" s="21">
        <v>1</v>
      </c>
      <c r="CF179" s="21">
        <v>1</v>
      </c>
      <c r="CH179" s="2" t="s">
        <v>170</v>
      </c>
      <c r="CI179" s="21">
        <v>0.42</v>
      </c>
      <c r="CJ179" s="21">
        <v>0</v>
      </c>
      <c r="CK179" s="21">
        <v>0.27</v>
      </c>
      <c r="CL179" s="21">
        <v>0.06</v>
      </c>
      <c r="CM179" s="21">
        <v>0.67</v>
      </c>
      <c r="CN179" s="21">
        <v>0.5</v>
      </c>
      <c r="CO179" s="21">
        <v>0.42</v>
      </c>
      <c r="CP179" s="21">
        <v>0.02</v>
      </c>
      <c r="CQ179" s="21">
        <v>1</v>
      </c>
      <c r="CR179" s="21">
        <v>0</v>
      </c>
      <c r="CS179" s="21">
        <v>0.14000000000000001</v>
      </c>
      <c r="CT179" s="21">
        <v>0.12</v>
      </c>
      <c r="CU179" s="21">
        <v>0</v>
      </c>
      <c r="CV179" s="21">
        <v>0</v>
      </c>
      <c r="CW179" s="21">
        <v>0</v>
      </c>
      <c r="CX179" s="21">
        <v>0</v>
      </c>
      <c r="CY179" s="21">
        <v>0.23</v>
      </c>
      <c r="CZ179" s="21">
        <v>0.4</v>
      </c>
      <c r="DA179" s="21">
        <v>1</v>
      </c>
      <c r="DC179" s="7" t="s">
        <v>170</v>
      </c>
      <c r="DD179" s="7">
        <v>0.84260000000000002</v>
      </c>
      <c r="DE179" s="7">
        <v>1.1819</v>
      </c>
      <c r="DF179" s="7">
        <v>0.96760000000000002</v>
      </c>
      <c r="DG179" s="7">
        <v>0.66459999999999997</v>
      </c>
      <c r="DH179" s="7">
        <v>0.89349999999999996</v>
      </c>
    </row>
    <row r="182" spans="1:112" s="28" customFormat="1">
      <c r="A182" s="27" t="s">
        <v>175</v>
      </c>
    </row>
    <row r="184" spans="1:112">
      <c r="B184" s="14" t="s">
        <v>148</v>
      </c>
      <c r="W184" s="14" t="s">
        <v>173</v>
      </c>
    </row>
    <row r="186" spans="1:112">
      <c r="C186" s="1" t="s">
        <v>152</v>
      </c>
      <c r="D186" s="1" t="s">
        <v>153</v>
      </c>
      <c r="E186" s="1" t="s">
        <v>154</v>
      </c>
      <c r="F186" s="1" t="s">
        <v>155</v>
      </c>
      <c r="G186" s="1" t="s">
        <v>156</v>
      </c>
      <c r="H186" s="1" t="s">
        <v>157</v>
      </c>
      <c r="I186" s="1" t="s">
        <v>158</v>
      </c>
      <c r="J186" s="1" t="s">
        <v>159</v>
      </c>
      <c r="K186" s="1" t="s">
        <v>160</v>
      </c>
      <c r="L186" s="1" t="s">
        <v>161</v>
      </c>
      <c r="M186" s="1" t="s">
        <v>162</v>
      </c>
      <c r="N186" s="1" t="s">
        <v>163</v>
      </c>
      <c r="O186" s="1" t="s">
        <v>164</v>
      </c>
      <c r="P186" s="1" t="s">
        <v>165</v>
      </c>
      <c r="Q186" s="1" t="s">
        <v>166</v>
      </c>
      <c r="R186" s="1" t="s">
        <v>167</v>
      </c>
      <c r="S186" s="1" t="s">
        <v>168</v>
      </c>
      <c r="T186" s="1" t="s">
        <v>169</v>
      </c>
      <c r="U186" s="1" t="s">
        <v>170</v>
      </c>
      <c r="W186" s="1" t="s">
        <v>174</v>
      </c>
      <c r="X186" s="1" t="s">
        <v>176</v>
      </c>
      <c r="Y186" s="1" t="s">
        <v>147</v>
      </c>
    </row>
    <row r="187" spans="1:112">
      <c r="B187" s="2" t="s">
        <v>152</v>
      </c>
      <c r="C187" s="19">
        <v>1</v>
      </c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W187" s="3" t="s">
        <v>152</v>
      </c>
      <c r="X187" s="3">
        <v>0.376</v>
      </c>
      <c r="Y187" s="3">
        <v>1.88</v>
      </c>
    </row>
    <row r="188" spans="1:112">
      <c r="B188" s="2" t="s">
        <v>153</v>
      </c>
      <c r="C188" s="20">
        <v>0</v>
      </c>
      <c r="D188" s="20">
        <v>1</v>
      </c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W188" s="4" t="s">
        <v>153</v>
      </c>
      <c r="X188" s="4">
        <v>0.20599999999999999</v>
      </c>
      <c r="Y188" s="4">
        <v>1.03</v>
      </c>
    </row>
    <row r="189" spans="1:112">
      <c r="B189" s="2" t="s">
        <v>154</v>
      </c>
      <c r="C189" s="20">
        <v>0</v>
      </c>
      <c r="D189" s="20">
        <v>0</v>
      </c>
      <c r="E189" s="20">
        <v>1</v>
      </c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W189" s="4" t="s">
        <v>154</v>
      </c>
      <c r="X189" s="4">
        <v>0.42799999999999999</v>
      </c>
      <c r="Y189" s="4">
        <v>2.14</v>
      </c>
    </row>
    <row r="190" spans="1:112">
      <c r="B190" s="2" t="s">
        <v>155</v>
      </c>
      <c r="C190" s="20">
        <v>0</v>
      </c>
      <c r="D190" s="20">
        <v>0</v>
      </c>
      <c r="E190" s="20">
        <v>0</v>
      </c>
      <c r="F190" s="20">
        <v>1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W190" s="4" t="s">
        <v>155</v>
      </c>
      <c r="X190" s="4">
        <v>0.502</v>
      </c>
      <c r="Y190" s="4">
        <v>2.5099999999999998</v>
      </c>
    </row>
    <row r="191" spans="1:112">
      <c r="B191" s="2" t="s">
        <v>156</v>
      </c>
      <c r="C191" s="20">
        <v>0.25</v>
      </c>
      <c r="D191" s="20">
        <v>0</v>
      </c>
      <c r="E191" s="20">
        <v>0</v>
      </c>
      <c r="F191" s="20">
        <v>0</v>
      </c>
      <c r="G191" s="20">
        <v>1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W191" s="4" t="s">
        <v>156</v>
      </c>
      <c r="X191" s="4">
        <v>0.98</v>
      </c>
      <c r="Y191" s="4">
        <v>4.9000000000000004</v>
      </c>
    </row>
    <row r="192" spans="1:112">
      <c r="B192" s="2" t="s">
        <v>157</v>
      </c>
      <c r="C192" s="20">
        <v>0.25</v>
      </c>
      <c r="D192" s="20">
        <v>0</v>
      </c>
      <c r="E192" s="20">
        <v>0</v>
      </c>
      <c r="F192" s="20">
        <v>0</v>
      </c>
      <c r="G192" s="20">
        <v>0.25</v>
      </c>
      <c r="H192" s="20">
        <v>1</v>
      </c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W192" s="4" t="s">
        <v>157</v>
      </c>
      <c r="X192" s="4">
        <v>0.94</v>
      </c>
      <c r="Y192" s="4">
        <v>4.7</v>
      </c>
    </row>
    <row r="193" spans="1:25">
      <c r="B193" s="2" t="s">
        <v>158</v>
      </c>
      <c r="C193" s="20">
        <v>0.25</v>
      </c>
      <c r="D193" s="20">
        <v>0</v>
      </c>
      <c r="E193" s="20">
        <v>0</v>
      </c>
      <c r="F193" s="20">
        <v>0</v>
      </c>
      <c r="G193" s="20">
        <v>0.25</v>
      </c>
      <c r="H193" s="20">
        <v>0.25</v>
      </c>
      <c r="I193" s="20">
        <v>1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W193" s="4" t="s">
        <v>158</v>
      </c>
      <c r="X193" s="4">
        <v>0.98</v>
      </c>
      <c r="Y193" s="4">
        <v>4.9000000000000004</v>
      </c>
    </row>
    <row r="194" spans="1:25">
      <c r="B194" s="2" t="s">
        <v>159</v>
      </c>
      <c r="C194" s="20">
        <v>0</v>
      </c>
      <c r="D194" s="20">
        <v>0</v>
      </c>
      <c r="E194" s="20">
        <v>0</v>
      </c>
      <c r="F194" s="20">
        <v>0</v>
      </c>
      <c r="G194" s="20">
        <v>0</v>
      </c>
      <c r="H194" s="20">
        <v>0</v>
      </c>
      <c r="I194" s="20">
        <v>0</v>
      </c>
      <c r="J194" s="20">
        <v>1</v>
      </c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W194" s="4" t="s">
        <v>159</v>
      </c>
      <c r="X194" s="4">
        <v>0.01</v>
      </c>
      <c r="Y194" s="4">
        <v>0.05</v>
      </c>
    </row>
    <row r="195" spans="1:25">
      <c r="B195" s="2" t="s">
        <v>160</v>
      </c>
      <c r="C195" s="20">
        <v>0</v>
      </c>
      <c r="D195" s="20">
        <v>0</v>
      </c>
      <c r="E195" s="20">
        <v>0</v>
      </c>
      <c r="F195" s="20">
        <v>0</v>
      </c>
      <c r="G195" s="20">
        <v>0</v>
      </c>
      <c r="H195" s="20">
        <v>0</v>
      </c>
      <c r="I195" s="20">
        <v>0</v>
      </c>
      <c r="J195" s="20">
        <v>0</v>
      </c>
      <c r="K195" s="20">
        <v>1</v>
      </c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W195" s="4" t="s">
        <v>160</v>
      </c>
      <c r="X195" s="4">
        <v>6.4000000000000001E-2</v>
      </c>
      <c r="Y195" s="4">
        <v>0.32</v>
      </c>
    </row>
    <row r="196" spans="1:25">
      <c r="B196" s="2" t="s">
        <v>161</v>
      </c>
      <c r="C196" s="20">
        <v>0</v>
      </c>
      <c r="D196" s="20">
        <v>0</v>
      </c>
      <c r="E196" s="20">
        <v>0</v>
      </c>
      <c r="F196" s="20">
        <v>0</v>
      </c>
      <c r="G196" s="20">
        <v>0</v>
      </c>
      <c r="H196" s="20">
        <v>0</v>
      </c>
      <c r="I196" s="20">
        <v>0</v>
      </c>
      <c r="J196" s="20">
        <v>0</v>
      </c>
      <c r="K196" s="20">
        <v>0</v>
      </c>
      <c r="L196" s="20">
        <v>1</v>
      </c>
      <c r="M196" s="20"/>
      <c r="N196" s="20"/>
      <c r="O196" s="20"/>
      <c r="P196" s="20"/>
      <c r="Q196" s="20"/>
      <c r="R196" s="20"/>
      <c r="S196" s="20"/>
      <c r="T196" s="20"/>
      <c r="U196" s="20"/>
      <c r="W196" s="4" t="s">
        <v>161</v>
      </c>
      <c r="X196" s="4">
        <v>2E-3</v>
      </c>
      <c r="Y196" s="4">
        <v>0.01</v>
      </c>
    </row>
    <row r="197" spans="1:25">
      <c r="B197" s="2" t="s">
        <v>162</v>
      </c>
      <c r="C197" s="20">
        <v>0</v>
      </c>
      <c r="D197" s="20">
        <v>0</v>
      </c>
      <c r="E197" s="20">
        <v>0</v>
      </c>
      <c r="F197" s="20">
        <v>0</v>
      </c>
      <c r="G197" s="20">
        <v>0</v>
      </c>
      <c r="H197" s="20">
        <v>0</v>
      </c>
      <c r="I197" s="20">
        <v>0</v>
      </c>
      <c r="J197" s="20">
        <v>0.25</v>
      </c>
      <c r="K197" s="20">
        <v>0</v>
      </c>
      <c r="L197" s="20">
        <v>0</v>
      </c>
      <c r="M197" s="20">
        <v>1</v>
      </c>
      <c r="N197" s="20"/>
      <c r="O197" s="20"/>
      <c r="P197" s="20"/>
      <c r="Q197" s="20"/>
      <c r="R197" s="20"/>
      <c r="S197" s="20"/>
      <c r="T197" s="20"/>
      <c r="U197" s="20"/>
      <c r="W197" s="4" t="s">
        <v>162</v>
      </c>
      <c r="X197" s="4">
        <v>2E-3</v>
      </c>
      <c r="Y197" s="4">
        <v>0.01</v>
      </c>
    </row>
    <row r="198" spans="1:25">
      <c r="B198" s="2" t="s">
        <v>163</v>
      </c>
      <c r="C198" s="20">
        <v>0</v>
      </c>
      <c r="D198" s="20">
        <v>0</v>
      </c>
      <c r="E198" s="20">
        <v>0</v>
      </c>
      <c r="F198" s="20">
        <v>0</v>
      </c>
      <c r="G198" s="20">
        <v>0</v>
      </c>
      <c r="H198" s="20">
        <v>0</v>
      </c>
      <c r="I198" s="20">
        <v>0</v>
      </c>
      <c r="J198" s="20">
        <v>0</v>
      </c>
      <c r="K198" s="20">
        <v>0</v>
      </c>
      <c r="L198" s="20">
        <v>0</v>
      </c>
      <c r="M198" s="20">
        <v>0</v>
      </c>
      <c r="N198" s="20">
        <v>1</v>
      </c>
      <c r="O198" s="20"/>
      <c r="P198" s="20"/>
      <c r="Q198" s="20"/>
      <c r="R198" s="20"/>
      <c r="S198" s="20"/>
      <c r="T198" s="20"/>
      <c r="U198" s="20"/>
      <c r="W198" s="4" t="s">
        <v>163</v>
      </c>
      <c r="X198" s="4">
        <v>1.2E-2</v>
      </c>
      <c r="Y198" s="4">
        <v>0.06</v>
      </c>
    </row>
    <row r="199" spans="1:25">
      <c r="B199" s="2" t="s">
        <v>164</v>
      </c>
      <c r="C199" s="20">
        <v>0</v>
      </c>
      <c r="D199" s="20">
        <v>0</v>
      </c>
      <c r="E199" s="20">
        <v>0</v>
      </c>
      <c r="F199" s="20">
        <v>0</v>
      </c>
      <c r="G199" s="20">
        <v>0</v>
      </c>
      <c r="H199" s="20">
        <v>0</v>
      </c>
      <c r="I199" s="20">
        <v>0</v>
      </c>
      <c r="J199" s="20">
        <v>0</v>
      </c>
      <c r="K199" s="20">
        <v>0</v>
      </c>
      <c r="L199" s="20">
        <v>0</v>
      </c>
      <c r="M199" s="20">
        <v>0</v>
      </c>
      <c r="N199" s="20">
        <v>0</v>
      </c>
      <c r="O199" s="20">
        <v>1</v>
      </c>
      <c r="P199" s="20"/>
      <c r="Q199" s="20"/>
      <c r="R199" s="20"/>
      <c r="S199" s="20"/>
      <c r="T199" s="20"/>
      <c r="U199" s="20"/>
      <c r="W199" s="4" t="s">
        <v>164</v>
      </c>
      <c r="X199" s="4">
        <v>0.04</v>
      </c>
      <c r="Y199" s="4">
        <v>0.2</v>
      </c>
    </row>
    <row r="200" spans="1:25">
      <c r="B200" s="2" t="s">
        <v>165</v>
      </c>
      <c r="C200" s="20">
        <v>0</v>
      </c>
      <c r="D200" s="20">
        <v>0</v>
      </c>
      <c r="E200" s="20">
        <v>0</v>
      </c>
      <c r="F200" s="20">
        <v>0</v>
      </c>
      <c r="G200" s="20">
        <v>0</v>
      </c>
      <c r="H200" s="20">
        <v>0</v>
      </c>
      <c r="I200" s="20">
        <v>0</v>
      </c>
      <c r="J200" s="20">
        <v>0</v>
      </c>
      <c r="K200" s="20">
        <v>0</v>
      </c>
      <c r="L200" s="20">
        <v>0</v>
      </c>
      <c r="M200" s="20">
        <v>0</v>
      </c>
      <c r="N200" s="20">
        <v>0</v>
      </c>
      <c r="O200" s="20">
        <v>0</v>
      </c>
      <c r="P200" s="20">
        <v>1</v>
      </c>
      <c r="Q200" s="20"/>
      <c r="R200" s="20"/>
      <c r="S200" s="20"/>
      <c r="T200" s="20"/>
      <c r="U200" s="20"/>
      <c r="W200" s="4" t="s">
        <v>165</v>
      </c>
      <c r="X200" s="4">
        <v>0.23799999999999999</v>
      </c>
      <c r="Y200" s="4">
        <v>1.19</v>
      </c>
    </row>
    <row r="201" spans="1:25">
      <c r="B201" s="2" t="s">
        <v>166</v>
      </c>
      <c r="C201" s="20">
        <v>0</v>
      </c>
      <c r="D201" s="20">
        <v>0</v>
      </c>
      <c r="E201" s="20">
        <v>0</v>
      </c>
      <c r="F201" s="20">
        <v>0</v>
      </c>
      <c r="G201" s="20">
        <v>0</v>
      </c>
      <c r="H201" s="20">
        <v>0</v>
      </c>
      <c r="I201" s="20">
        <v>0</v>
      </c>
      <c r="J201" s="20">
        <v>0</v>
      </c>
      <c r="K201" s="20">
        <v>0</v>
      </c>
      <c r="L201" s="20">
        <v>0</v>
      </c>
      <c r="M201" s="20">
        <v>0</v>
      </c>
      <c r="N201" s="20">
        <v>0</v>
      </c>
      <c r="O201" s="20">
        <v>0</v>
      </c>
      <c r="P201" s="20">
        <v>0</v>
      </c>
      <c r="Q201" s="20">
        <v>1</v>
      </c>
      <c r="R201" s="20"/>
      <c r="S201" s="20"/>
      <c r="T201" s="20"/>
      <c r="U201" s="20"/>
      <c r="W201" s="4" t="s">
        <v>166</v>
      </c>
      <c r="X201" s="4">
        <v>3.7999999999999999E-2</v>
      </c>
      <c r="Y201" s="4">
        <v>0.19</v>
      </c>
    </row>
    <row r="202" spans="1:25">
      <c r="B202" s="2" t="s">
        <v>167</v>
      </c>
      <c r="C202" s="20">
        <v>0</v>
      </c>
      <c r="D202" s="20">
        <v>0</v>
      </c>
      <c r="E202" s="20">
        <v>0</v>
      </c>
      <c r="F202" s="20">
        <v>0</v>
      </c>
      <c r="G202" s="20">
        <v>0</v>
      </c>
      <c r="H202" s="20">
        <v>0</v>
      </c>
      <c r="I202" s="20">
        <v>0</v>
      </c>
      <c r="J202" s="20">
        <v>0</v>
      </c>
      <c r="K202" s="20">
        <v>0</v>
      </c>
      <c r="L202" s="20">
        <v>0</v>
      </c>
      <c r="M202" s="20">
        <v>0</v>
      </c>
      <c r="N202" s="20">
        <v>0</v>
      </c>
      <c r="O202" s="20">
        <v>0</v>
      </c>
      <c r="P202" s="20">
        <v>0</v>
      </c>
      <c r="Q202" s="20">
        <v>0</v>
      </c>
      <c r="R202" s="20">
        <v>1</v>
      </c>
      <c r="S202" s="20"/>
      <c r="T202" s="20"/>
      <c r="U202" s="20"/>
      <c r="W202" s="4" t="s">
        <v>167</v>
      </c>
      <c r="X202" s="4">
        <v>0.25800000000000001</v>
      </c>
      <c r="Y202" s="4">
        <v>1.29</v>
      </c>
    </row>
    <row r="203" spans="1:25">
      <c r="B203" s="2" t="s">
        <v>168</v>
      </c>
      <c r="C203" s="20">
        <v>0</v>
      </c>
      <c r="D203" s="20">
        <v>0</v>
      </c>
      <c r="E203" s="20">
        <v>0</v>
      </c>
      <c r="F203" s="20">
        <v>0</v>
      </c>
      <c r="G203" s="20">
        <v>0</v>
      </c>
      <c r="H203" s="20">
        <v>0</v>
      </c>
      <c r="I203" s="20">
        <v>0</v>
      </c>
      <c r="J203" s="20">
        <v>0</v>
      </c>
      <c r="K203" s="20">
        <v>0</v>
      </c>
      <c r="L203" s="20">
        <v>0</v>
      </c>
      <c r="M203" s="20">
        <v>0</v>
      </c>
      <c r="N203" s="20">
        <v>0</v>
      </c>
      <c r="O203" s="20">
        <v>0</v>
      </c>
      <c r="P203" s="20">
        <v>0</v>
      </c>
      <c r="Q203" s="20">
        <v>0</v>
      </c>
      <c r="R203" s="20">
        <v>0</v>
      </c>
      <c r="S203" s="20">
        <v>1</v>
      </c>
      <c r="T203" s="20"/>
      <c r="U203" s="20"/>
      <c r="W203" s="4" t="s">
        <v>168</v>
      </c>
      <c r="X203" s="4">
        <v>0.376</v>
      </c>
      <c r="Y203" s="4">
        <v>1.88</v>
      </c>
    </row>
    <row r="204" spans="1:25">
      <c r="B204" s="2" t="s">
        <v>169</v>
      </c>
      <c r="C204" s="20">
        <v>0</v>
      </c>
      <c r="D204" s="20">
        <v>0</v>
      </c>
      <c r="E204" s="20">
        <v>0</v>
      </c>
      <c r="F204" s="20">
        <v>0</v>
      </c>
      <c r="G204" s="20">
        <v>0</v>
      </c>
      <c r="H204" s="20">
        <v>0</v>
      </c>
      <c r="I204" s="20">
        <v>0</v>
      </c>
      <c r="J204" s="20">
        <v>0</v>
      </c>
      <c r="K204" s="20">
        <v>0</v>
      </c>
      <c r="L204" s="20">
        <v>0</v>
      </c>
      <c r="M204" s="20">
        <v>0</v>
      </c>
      <c r="N204" s="20">
        <v>0</v>
      </c>
      <c r="O204" s="20">
        <v>0</v>
      </c>
      <c r="P204" s="20">
        <v>0</v>
      </c>
      <c r="Q204" s="20">
        <v>0</v>
      </c>
      <c r="R204" s="20">
        <v>0</v>
      </c>
      <c r="S204" s="20">
        <v>0</v>
      </c>
      <c r="T204" s="20">
        <v>1</v>
      </c>
      <c r="U204" s="20"/>
      <c r="W204" s="4" t="s">
        <v>169</v>
      </c>
      <c r="X204" s="4">
        <v>0.376</v>
      </c>
      <c r="Y204" s="4">
        <v>1.88</v>
      </c>
    </row>
    <row r="205" spans="1:25">
      <c r="B205" s="2" t="s">
        <v>170</v>
      </c>
      <c r="C205" s="21">
        <v>0</v>
      </c>
      <c r="D205" s="21">
        <v>0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J205" s="21">
        <v>0</v>
      </c>
      <c r="K205" s="21">
        <v>0</v>
      </c>
      <c r="L205" s="21">
        <v>0</v>
      </c>
      <c r="M205" s="21">
        <v>0</v>
      </c>
      <c r="N205" s="21">
        <v>0</v>
      </c>
      <c r="O205" s="21">
        <v>0</v>
      </c>
      <c r="P205" s="21">
        <v>0</v>
      </c>
      <c r="Q205" s="21">
        <v>0</v>
      </c>
      <c r="R205" s="21">
        <v>0</v>
      </c>
      <c r="S205" s="21">
        <v>0</v>
      </c>
      <c r="T205" s="21">
        <v>0</v>
      </c>
      <c r="U205" s="21">
        <v>1</v>
      </c>
      <c r="W205" s="7" t="s">
        <v>170</v>
      </c>
      <c r="X205" s="7">
        <v>0.376</v>
      </c>
      <c r="Y205" s="7">
        <v>1.88</v>
      </c>
    </row>
    <row r="208" spans="1:25" s="28" customFormat="1">
      <c r="A208" s="27" t="s">
        <v>177</v>
      </c>
    </row>
    <row r="210" spans="2:3">
      <c r="B210" s="1" t="s">
        <v>178</v>
      </c>
      <c r="C210" s="1" t="s">
        <v>179</v>
      </c>
    </row>
    <row r="211" spans="2:3">
      <c r="B211" s="42">
        <v>1</v>
      </c>
      <c r="C211" s="42">
        <v>5</v>
      </c>
    </row>
    <row r="212" spans="2:3">
      <c r="B212" s="39">
        <v>200</v>
      </c>
      <c r="C212" s="39">
        <v>17</v>
      </c>
    </row>
    <row r="213" spans="2:3">
      <c r="B213" s="39">
        <v>400</v>
      </c>
      <c r="C213" s="39">
        <v>18</v>
      </c>
    </row>
    <row r="214" spans="2:3">
      <c r="B214" s="39">
        <v>1000</v>
      </c>
      <c r="C214" s="39">
        <v>19</v>
      </c>
    </row>
    <row r="215" spans="2:3">
      <c r="B215" s="39">
        <v>1400</v>
      </c>
      <c r="C215" s="39">
        <v>7</v>
      </c>
    </row>
    <row r="216" spans="2:3">
      <c r="B216" s="39">
        <v>1700</v>
      </c>
      <c r="C216" s="39">
        <v>6</v>
      </c>
    </row>
    <row r="217" spans="2:3">
      <c r="B217" s="39">
        <v>1800</v>
      </c>
      <c r="C217" s="39">
        <v>1</v>
      </c>
    </row>
    <row r="218" spans="2:3">
      <c r="B218" s="39">
        <v>2000</v>
      </c>
      <c r="C218" s="39">
        <v>6</v>
      </c>
    </row>
    <row r="219" spans="2:3">
      <c r="B219" s="39">
        <v>2200</v>
      </c>
      <c r="C219" s="39">
        <v>19</v>
      </c>
    </row>
    <row r="220" spans="2:3">
      <c r="B220" s="39">
        <v>2500</v>
      </c>
      <c r="C220" s="39">
        <v>17</v>
      </c>
    </row>
    <row r="221" spans="2:3">
      <c r="B221" s="39">
        <v>2900</v>
      </c>
      <c r="C221" s="39">
        <v>3</v>
      </c>
    </row>
    <row r="222" spans="2:3">
      <c r="B222" s="39">
        <v>3600</v>
      </c>
      <c r="C222" s="39">
        <v>9</v>
      </c>
    </row>
    <row r="223" spans="2:3">
      <c r="B223" s="39">
        <v>3700</v>
      </c>
      <c r="C223" s="39">
        <v>3</v>
      </c>
    </row>
    <row r="224" spans="2:3">
      <c r="B224" s="39">
        <v>4000</v>
      </c>
      <c r="C224" s="39">
        <v>9</v>
      </c>
    </row>
    <row r="225" spans="2:3">
      <c r="B225" s="39">
        <v>4150</v>
      </c>
      <c r="C225" s="39">
        <v>3</v>
      </c>
    </row>
    <row r="226" spans="2:3">
      <c r="B226" s="39">
        <v>4300</v>
      </c>
      <c r="C226" s="39">
        <v>9</v>
      </c>
    </row>
    <row r="227" spans="2:3">
      <c r="B227" s="39">
        <v>4450</v>
      </c>
      <c r="C227" s="39">
        <v>3</v>
      </c>
    </row>
    <row r="228" spans="2:3">
      <c r="B228" s="39">
        <v>4900</v>
      </c>
      <c r="C228" s="39">
        <v>16</v>
      </c>
    </row>
    <row r="229" spans="2:3">
      <c r="B229" s="39">
        <v>5200</v>
      </c>
      <c r="C229" s="39">
        <v>15</v>
      </c>
    </row>
    <row r="230" spans="2:3">
      <c r="B230" s="39">
        <v>5300</v>
      </c>
      <c r="C230" s="39">
        <v>14</v>
      </c>
    </row>
    <row r="231" spans="2:3">
      <c r="B231" s="39">
        <v>5800</v>
      </c>
      <c r="C231" s="39">
        <v>16</v>
      </c>
    </row>
    <row r="232" spans="2:3">
      <c r="B232" s="39">
        <v>6000</v>
      </c>
      <c r="C232" s="39">
        <v>13</v>
      </c>
    </row>
    <row r="233" spans="2:3">
      <c r="B233" s="39">
        <v>6100</v>
      </c>
      <c r="C233" s="39">
        <v>14</v>
      </c>
    </row>
    <row r="234" spans="2:3">
      <c r="B234" s="39">
        <v>6200</v>
      </c>
      <c r="C234" s="39">
        <v>16</v>
      </c>
    </row>
    <row r="235" spans="2:3">
      <c r="B235" s="39">
        <v>6300</v>
      </c>
      <c r="C235" s="39">
        <v>12</v>
      </c>
    </row>
    <row r="236" spans="2:3">
      <c r="B236" s="39">
        <v>6800</v>
      </c>
      <c r="C236" s="39">
        <v>11</v>
      </c>
    </row>
    <row r="237" spans="2:3">
      <c r="B237" s="39">
        <v>6900</v>
      </c>
      <c r="C237" s="39">
        <v>2</v>
      </c>
    </row>
    <row r="238" spans="2:3">
      <c r="B238" s="39">
        <v>7100</v>
      </c>
      <c r="C238" s="39">
        <v>8</v>
      </c>
    </row>
    <row r="239" spans="2:3">
      <c r="B239" s="39">
        <v>7200</v>
      </c>
      <c r="C239" s="39">
        <v>10</v>
      </c>
    </row>
    <row r="240" spans="2:3">
      <c r="B240" s="39">
        <v>7400</v>
      </c>
      <c r="C240" s="39">
        <v>8</v>
      </c>
    </row>
    <row r="241" spans="2:4">
      <c r="B241" s="39">
        <v>7600</v>
      </c>
      <c r="C241" s="39">
        <v>11</v>
      </c>
    </row>
    <row r="242" spans="2:4">
      <c r="B242" s="39">
        <v>7700</v>
      </c>
      <c r="C242" s="39">
        <v>8</v>
      </c>
    </row>
    <row r="243" spans="2:4">
      <c r="B243" s="39">
        <v>8100</v>
      </c>
      <c r="C243" s="39">
        <v>2</v>
      </c>
    </row>
    <row r="244" spans="2:4">
      <c r="B244" s="40">
        <v>9000</v>
      </c>
      <c r="C244" s="40">
        <v>2</v>
      </c>
      <c r="D244" s="41" t="s">
        <v>180</v>
      </c>
    </row>
    <row r="245" spans="2:4">
      <c r="B245" s="39">
        <v>9300</v>
      </c>
      <c r="C245" s="39">
        <v>4</v>
      </c>
    </row>
    <row r="246" spans="2:4">
      <c r="B246" s="39">
        <v>9750</v>
      </c>
      <c r="C246" s="39">
        <v>14</v>
      </c>
    </row>
    <row r="247" spans="2:4">
      <c r="B247" s="39">
        <v>9800</v>
      </c>
      <c r="C247" s="39">
        <v>4</v>
      </c>
    </row>
    <row r="248" spans="2:4">
      <c r="B248" s="39">
        <v>9999</v>
      </c>
      <c r="C248" s="39">
        <v>4</v>
      </c>
    </row>
    <row r="249" spans="2:4">
      <c r="B249" s="44">
        <v>10000</v>
      </c>
      <c r="C249" s="44">
        <v>4</v>
      </c>
      <c r="D249" s="41" t="s">
        <v>180</v>
      </c>
    </row>
  </sheetData>
  <hyperlinks>
    <hyperlink ref="B7" location="metadata!A14" display="Factor Based Charges" xr:uid="{D876F6B9-720C-4B46-A5AF-4CD9E9877BE5}"/>
    <hyperlink ref="B8" location="metadata!A40" display="Premium and Reserve Risk Factors" xr:uid="{AE9F7986-E45F-4674-8D4C-8006ACDD3B07}"/>
    <hyperlink ref="B9" location="metadata!A85" display="Spread Risk Charges" xr:uid="{3C7D190F-2AE9-4717-84BA-6F748F2794E8}"/>
    <hyperlink ref="B10" location="metadata!A109" display="Interest Rate Curves Shocks" xr:uid="{3DED220D-6B7D-4B17-9D5D-9DC388877DBA}"/>
    <hyperlink ref="B11" location="metadata!A146" display="Earthquake Charges" xr:uid="{B5AA1548-AAC4-4EE6-B4BE-6D4D7F1375A4}"/>
    <hyperlink ref="B12" location="metadata!A182" display="Hail Charges" xr:uid="{CF6CB5E6-1B7E-4333-BA8F-9B15B647621A}"/>
    <hyperlink ref="B13" location="metadata!A208" display="Zone Mapping" xr:uid="{E2113ED5-1940-4DBD-B91F-E6ABF444BC01}"/>
  </hyperlinks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8AB0D-55E9-4DA5-80F2-48481FC594B7}">
  <sheetPr codeName="wFunctions"/>
  <dimension ref="B4:L17"/>
  <sheetViews>
    <sheetView workbookViewId="0"/>
  </sheetViews>
  <sheetFormatPr defaultRowHeight="14.5"/>
  <cols>
    <col min="1" max="1" width="1.6328125" customWidth="1"/>
    <col min="2" max="2" width="14.08984375" bestFit="1" customWidth="1"/>
    <col min="3" max="3" width="61.90625" bestFit="1" customWidth="1"/>
    <col min="4" max="4" width="16" bestFit="1" customWidth="1"/>
    <col min="5" max="5" width="55.1796875" bestFit="1" customWidth="1"/>
    <col min="6" max="6" width="31.6328125" bestFit="1" customWidth="1"/>
    <col min="7" max="7" width="58.90625" bestFit="1" customWidth="1"/>
    <col min="8" max="8" width="42.81640625" bestFit="1" customWidth="1"/>
    <col min="9" max="9" width="52.6328125" bestFit="1" customWidth="1"/>
    <col min="10" max="10" width="51.6328125" bestFit="1" customWidth="1"/>
    <col min="11" max="11" width="45" bestFit="1" customWidth="1"/>
    <col min="12" max="12" width="33.90625" bestFit="1" customWidth="1"/>
  </cols>
  <sheetData>
    <row r="4" spans="2:12">
      <c r="B4" s="1" t="s">
        <v>122</v>
      </c>
      <c r="C4" s="1" t="s">
        <v>131</v>
      </c>
      <c r="D4" s="1" t="s">
        <v>123</v>
      </c>
      <c r="E4" s="1" t="s">
        <v>187</v>
      </c>
      <c r="F4" s="1" t="s">
        <v>124</v>
      </c>
      <c r="G4" s="1" t="s">
        <v>125</v>
      </c>
      <c r="H4" s="1" t="s">
        <v>126</v>
      </c>
      <c r="I4" s="1" t="s">
        <v>127</v>
      </c>
      <c r="J4" s="1" t="s">
        <v>128</v>
      </c>
      <c r="K4" s="1" t="s">
        <v>129</v>
      </c>
      <c r="L4" s="1" t="s">
        <v>130</v>
      </c>
    </row>
    <row r="5" spans="2:12">
      <c r="B5" s="3" t="s">
        <v>132</v>
      </c>
      <c r="C5" s="3" t="s">
        <v>182</v>
      </c>
      <c r="D5" s="3" t="s">
        <v>133</v>
      </c>
      <c r="E5" s="3" t="s">
        <v>188</v>
      </c>
      <c r="F5" s="3" t="s">
        <v>134</v>
      </c>
      <c r="G5" s="3" t="s">
        <v>135</v>
      </c>
      <c r="H5" s="3" t="s">
        <v>136</v>
      </c>
      <c r="I5" s="3"/>
      <c r="J5" s="3"/>
      <c r="K5" s="3"/>
      <c r="L5" s="3"/>
    </row>
    <row r="6" spans="2:12"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2:12"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spans="2:12">
      <c r="B8" s="4"/>
      <c r="C8" s="4"/>
      <c r="D8" s="4"/>
      <c r="E8" s="4"/>
      <c r="F8" s="4"/>
      <c r="G8" s="4"/>
      <c r="H8" s="4"/>
      <c r="I8" s="4"/>
      <c r="J8" s="4"/>
      <c r="K8" s="4"/>
      <c r="L8" s="4"/>
    </row>
    <row r="9" spans="2:12">
      <c r="B9" s="4"/>
      <c r="C9" s="4"/>
      <c r="D9" s="4"/>
      <c r="E9" s="4"/>
      <c r="F9" s="4"/>
      <c r="G9" s="4"/>
      <c r="H9" s="4"/>
      <c r="I9" s="4"/>
      <c r="J9" s="4"/>
      <c r="K9" s="4"/>
      <c r="L9" s="4"/>
    </row>
    <row r="10" spans="2:12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</row>
    <row r="11" spans="2:12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spans="2:12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</row>
    <row r="13" spans="2:12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2:12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2:12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 spans="2:12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 spans="2:12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21</vt:i4>
      </vt:variant>
    </vt:vector>
  </HeadingPairs>
  <TitlesOfParts>
    <vt:vector size="40" baseType="lpstr">
      <vt:lpstr>NOTICE</vt:lpstr>
      <vt:lpstr>LICENSE</vt:lpstr>
      <vt:lpstr>Index</vt:lpstr>
      <vt:lpstr>Notes</vt:lpstr>
      <vt:lpstr>Inputs &gt;&gt;&gt;</vt:lpstr>
      <vt:lpstr>prem_res</vt:lpstr>
      <vt:lpstr>Outputs &gt;&gt;&gt;</vt:lpstr>
      <vt:lpstr>PremRes</vt:lpstr>
      <vt:lpstr>PremRes Proof &gt;&gt;&gt;</vt:lpstr>
      <vt:lpstr>Correlation Matrix</vt:lpstr>
      <vt:lpstr>Calculated Correlation Matrix</vt:lpstr>
      <vt:lpstr>PremRes Replication</vt:lpstr>
      <vt:lpstr>Summary</vt:lpstr>
      <vt:lpstr>Example Profile Output&gt;&gt;&gt;</vt:lpstr>
      <vt:lpstr>Profile_20260119_233003</vt:lpstr>
      <vt:lpstr>Profile_20260119_235016</vt:lpstr>
      <vt:lpstr>Metadata &gt;&gt;&gt;</vt:lpstr>
      <vt:lpstr>metadata</vt:lpstr>
      <vt:lpstr>functions</vt:lpstr>
      <vt:lpstr>rCorrelation</vt:lpstr>
      <vt:lpstr>rEQCommCorr</vt:lpstr>
      <vt:lpstr>rEQContCorr</vt:lpstr>
      <vt:lpstr>rEQCoverCharge</vt:lpstr>
      <vt:lpstr>rEQCoverCorr</vt:lpstr>
      <vt:lpstr>rEQEngCorr</vt:lpstr>
      <vt:lpstr>rEQMotorCorr</vt:lpstr>
      <vt:lpstr>rEQResCorr</vt:lpstr>
      <vt:lpstr>rEQZoneCoverCharge</vt:lpstr>
      <vt:lpstr>rFactorCharges</vt:lpstr>
      <vt:lpstr>rFactorNPCharges</vt:lpstr>
      <vt:lpstr>rFunc</vt:lpstr>
      <vt:lpstr>rHailCorr</vt:lpstr>
      <vt:lpstr>rHailZoneCoverCharge</vt:lpstr>
      <vt:lpstr>rNominalShock</vt:lpstr>
      <vt:lpstr>rPremRes</vt:lpstr>
      <vt:lpstr>rRealShock</vt:lpstr>
      <vt:lpstr>rShare</vt:lpstr>
      <vt:lpstr>rSpread</vt:lpstr>
      <vt:lpstr>rStdDev</vt:lpstr>
      <vt:lpstr>rZoneMapping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Clive Hogarth</dc:creator>
  <cp:lastModifiedBy>Clive Hogarth</cp:lastModifiedBy>
  <dcterms:created xsi:type="dcterms:W3CDTF">2025-09-12T19:23:35Z</dcterms:created>
  <dcterms:modified xsi:type="dcterms:W3CDTF">2026-01-22T18:08:27Z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48d4591-3dfa-47bd-a0fe-27cfbf2a5e17_Enabled">
    <vt:lpwstr>true</vt:lpwstr>
  </property>
  <property fmtid="{D5CDD505-2E9C-101B-9397-08002B2CF9AE}" pid="3" name="MSIP_Label_248d4591-3dfa-47bd-a0fe-27cfbf2a5e17_SetDate">
    <vt:lpwstr>2025-09-12T21:11:33Z</vt:lpwstr>
  </property>
  <property fmtid="{D5CDD505-2E9C-101B-9397-08002B2CF9AE}" pid="4" name="MSIP_Label_248d4591-3dfa-47bd-a0fe-27cfbf2a5e17_Method">
    <vt:lpwstr>Standard</vt:lpwstr>
  </property>
  <property fmtid="{D5CDD505-2E9C-101B-9397-08002B2CF9AE}" pid="5" name="MSIP_Label_248d4591-3dfa-47bd-a0fe-27cfbf2a5e17_Name">
    <vt:lpwstr>Control Disclosure</vt:lpwstr>
  </property>
  <property fmtid="{D5CDD505-2E9C-101B-9397-08002B2CF9AE}" pid="6" name="MSIP_Label_248d4591-3dfa-47bd-a0fe-27cfbf2a5e17_SiteId">
    <vt:lpwstr>9cea85f3-a573-4c2a-8071-9288b3c683b5</vt:lpwstr>
  </property>
  <property fmtid="{D5CDD505-2E9C-101B-9397-08002B2CF9AE}" pid="7" name="MSIP_Label_248d4591-3dfa-47bd-a0fe-27cfbf2a5e17_ActionId">
    <vt:lpwstr>b2fb5a28-217b-457e-bbd2-023626c287c3</vt:lpwstr>
  </property>
  <property fmtid="{D5CDD505-2E9C-101B-9397-08002B2CF9AE}" pid="8" name="MSIP_Label_248d4591-3dfa-47bd-a0fe-27cfbf2a5e17_ContentBits">
    <vt:lpwstr>2</vt:lpwstr>
  </property>
  <property fmtid="{D5CDD505-2E9C-101B-9397-08002B2CF9AE}" pid="9" name="MSIP_Label_248d4591-3dfa-47bd-a0fe-27cfbf2a5e17_Tag">
    <vt:lpwstr>10, 3, 0, 1</vt:lpwstr>
  </property>
</Properties>
</file>